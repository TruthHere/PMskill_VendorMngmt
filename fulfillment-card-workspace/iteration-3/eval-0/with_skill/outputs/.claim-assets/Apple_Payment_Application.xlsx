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jll2.sharepoint.com/teams/SARLP5JLLTeam/Shared Documents/General/Apple SARL P5/11.Payment/"/>
    </mc:Choice>
  </mc:AlternateContent>
  <xr:revisionPtr revIDLastSave="59" documentId="8_{781FDF29-A449-6047-B972-FB02132CBA9B}" xr6:coauthVersionLast="47" xr6:coauthVersionMax="47" xr10:uidLastSave="{4300BCCD-11F2-3C48-B310-1C0060266BB1}"/>
  <bookViews>
    <workbookView xWindow="0" yWindow="720" windowWidth="29400" windowHeight="18400" tabRatio="753" xr2:uid="{00000000-000D-0000-FFFF-FFFF00000000}"/>
  </bookViews>
  <sheets>
    <sheet name="Invoice" sheetId="3" r:id="rId1"/>
    <sheet name="Advance Payment Schedule" sheetId="4" state="hidden" r:id="rId2"/>
  </sheets>
  <definedNames>
    <definedName name="__IntlFixup" hidden="1">TRUE</definedName>
    <definedName name="_Sort" localSheetId="0" hidden="1">#REF!</definedName>
    <definedName name="_Sort" hidden="1">#REF!</definedName>
    <definedName name="_xlnm.Print_Area" localSheetId="0">Invoice!$A$1:$R$66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45" i="3" l="1"/>
  <c r="I29" i="3"/>
  <c r="Q39" i="3" l="1"/>
  <c r="I31" i="3"/>
  <c r="L27" i="4"/>
  <c r="L29" i="4" s="1"/>
  <c r="K15" i="4"/>
  <c r="K53" i="4" s="1"/>
  <c r="K5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Grace He</author>
  </authors>
  <commentList>
    <comment ref="B2" authorId="0" shapeId="0" xr:uid="{00000000-0006-0000-0000-000001000000}">
      <text>
        <r>
          <rPr>
            <sz val="10"/>
            <color rgb="FF000000"/>
            <rFont val="Calibri"/>
            <family val="2"/>
          </rPr>
          <t>填</t>
        </r>
        <r>
          <rPr>
            <sz val="10"/>
            <color rgb="FF000000"/>
            <rFont val="Calibri"/>
            <family val="2"/>
          </rPr>
          <t>SC2</t>
        </r>
        <r>
          <rPr>
            <sz val="10"/>
            <color rgb="FF000000"/>
            <rFont val="Calibri"/>
            <family val="2"/>
          </rPr>
          <t>即可</t>
        </r>
      </text>
    </comment>
    <comment ref="B3" authorId="0" shapeId="0" xr:uid="{00000000-0006-0000-0000-000002000000}">
      <text>
        <r>
          <rPr>
            <sz val="10"/>
            <color rgb="FF000000"/>
            <rFont val="Calibri"/>
            <family val="2"/>
          </rPr>
          <t>填</t>
        </r>
        <r>
          <rPr>
            <sz val="10"/>
            <color rgb="FF000000"/>
            <rFont val="Calibri"/>
            <family val="2"/>
          </rPr>
          <t>Div 166/183/etc</t>
        </r>
      </text>
    </comment>
    <comment ref="B4" authorId="0" shapeId="0" xr:uid="{00000000-0006-0000-0000-000003000000}">
      <text>
        <r>
          <rPr>
            <sz val="10"/>
            <color rgb="FF000000"/>
            <rFont val="Calibri"/>
            <family val="2"/>
          </rPr>
          <t>供应商名字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B5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GC</t>
        </r>
      </text>
    </comment>
    <comment ref="B6" authorId="0" shapeId="0" xr:uid="{00000000-0006-0000-0000-000005000000}">
      <text>
        <r>
          <rPr>
            <sz val="10"/>
            <color rgb="FF000000"/>
            <rFont val="Calibri"/>
            <family val="2"/>
          </rPr>
          <t>供应商编号</t>
        </r>
        <r>
          <rPr>
            <sz val="10"/>
            <color rgb="FF000000"/>
            <rFont val="Calibri"/>
            <family val="2"/>
          </rPr>
          <t xml:space="preserve"> (PO</t>
        </r>
        <r>
          <rPr>
            <sz val="10"/>
            <color rgb="FF000000"/>
            <rFont val="Calibri"/>
            <family val="2"/>
          </rPr>
          <t>上可找到）</t>
        </r>
      </text>
    </comment>
    <comment ref="B7" authorId="0" shapeId="0" xr:uid="{00000000-0006-0000-0000-000006000000}">
      <text>
        <r>
          <rPr>
            <sz val="10"/>
            <color rgb="FF000000"/>
            <rFont val="Calibri"/>
            <family val="2"/>
          </rPr>
          <t xml:space="preserve">PO </t>
        </r>
        <r>
          <rPr>
            <sz val="10"/>
            <color rgb="FF000000"/>
            <rFont val="Calibri"/>
            <family val="2"/>
          </rPr>
          <t>编号</t>
        </r>
      </text>
    </comment>
    <comment ref="B8" authorId="0" shapeId="0" xr:uid="{00000000-0006-0000-0000-000007000000}">
      <text>
        <r>
          <rPr>
            <sz val="10"/>
            <color indexed="81"/>
            <rFont val="Calibri"/>
            <family val="2"/>
          </rPr>
          <t>PO 金额</t>
        </r>
      </text>
    </comment>
    <comment ref="B9" authorId="0" shapeId="0" xr:uid="{00000000-0006-0000-0000-000008000000}">
      <text>
        <r>
          <rPr>
            <sz val="10"/>
            <color rgb="FF000000"/>
            <rFont val="Calibri"/>
            <family val="2"/>
          </rPr>
          <t>合同总价</t>
        </r>
      </text>
    </comment>
    <comment ref="B11" authorId="0" shapeId="0" xr:uid="{00000000-0006-0000-0000-000009000000}">
      <text>
        <r>
          <rPr>
            <sz val="10"/>
            <color indexed="81"/>
            <rFont val="Calibri"/>
            <family val="2"/>
          </rPr>
          <t>供应商联系人信息</t>
        </r>
      </text>
    </comment>
    <comment ref="K12" authorId="0" shapeId="0" xr:uid="{00000000-0006-0000-0000-00000A000000}">
      <text>
        <r>
          <rPr>
            <sz val="10"/>
            <color rgb="FF000000"/>
            <rFont val="Calibri"/>
            <family val="2"/>
          </rPr>
          <t>供应商公司地址</t>
        </r>
      </text>
    </comment>
    <comment ref="B19" authorId="0" shapeId="0" xr:uid="{00000000-0006-0000-0000-00000B000000}">
      <text>
        <r>
          <rPr>
            <sz val="10"/>
            <color rgb="FF000000"/>
            <rFont val="Calibri"/>
            <family val="2"/>
          </rPr>
          <t>苹果公司</t>
        </r>
        <r>
          <rPr>
            <sz val="10"/>
            <color rgb="FF000000"/>
            <rFont val="Calibri"/>
            <family val="2"/>
          </rPr>
          <t xml:space="preserve"> div 166 </t>
        </r>
        <r>
          <rPr>
            <sz val="10"/>
            <color rgb="FF000000"/>
            <rFont val="Calibri"/>
            <family val="2"/>
          </rPr>
          <t>或</t>
        </r>
        <r>
          <rPr>
            <sz val="10"/>
            <color rgb="FF000000"/>
            <rFont val="Calibri"/>
            <family val="2"/>
          </rPr>
          <t xml:space="preserve">183 </t>
        </r>
        <r>
          <rPr>
            <sz val="10"/>
            <color rgb="FF000000"/>
            <rFont val="Calibri"/>
            <family val="2"/>
          </rPr>
          <t>名字全称</t>
        </r>
        <r>
          <rPr>
            <sz val="10"/>
            <color rgb="FF000000"/>
            <rFont val="Calibri"/>
            <family val="2"/>
          </rPr>
          <t xml:space="preserve"> (PO </t>
        </r>
        <r>
          <rPr>
            <sz val="10"/>
            <color rgb="FF000000"/>
            <rFont val="Calibri"/>
            <family val="2"/>
          </rPr>
          <t>上可找到）</t>
        </r>
      </text>
    </comment>
    <comment ref="B22" authorId="0" shapeId="0" xr:uid="{00000000-0006-0000-0000-00000C000000}">
      <text>
        <r>
          <rPr>
            <sz val="10"/>
            <color rgb="FF000000"/>
            <rFont val="Calibri"/>
            <family val="2"/>
          </rPr>
          <t>付款节点</t>
        </r>
      </text>
    </comment>
    <comment ref="P23" authorId="0" shapeId="0" xr:uid="{00000000-0006-0000-0000-00000D000000}">
      <text>
        <r>
          <rPr>
            <sz val="10"/>
            <color rgb="FF000000"/>
            <rFont val="Calibri"/>
            <family val="2"/>
          </rPr>
          <t>周期</t>
        </r>
      </text>
    </comment>
    <comment ref="I29" authorId="0" shapeId="0" xr:uid="{00000000-0006-0000-0000-00000E000000}">
      <text>
        <r>
          <rPr>
            <sz val="10"/>
            <color rgb="FF000000"/>
            <rFont val="Calibri"/>
            <family val="2"/>
          </rPr>
          <t>合同总价</t>
        </r>
      </text>
    </comment>
    <comment ref="B37" authorId="1" shapeId="0" xr:uid="{A71464D0-385F-3A49-AB8C-550AE7086722}">
      <text>
        <r>
          <rPr>
            <b/>
            <sz val="10"/>
            <color rgb="FF000000"/>
            <rFont val="Microsoft YaHei UI"/>
            <family val="2"/>
            <charset val="134"/>
          </rPr>
          <t>请款节点</t>
        </r>
      </text>
    </comment>
    <comment ref="Q37" authorId="1" shapeId="0" xr:uid="{EDC8ECEA-C484-C74F-9BCD-6FC511575097}">
      <text>
        <r>
          <rPr>
            <b/>
            <sz val="10"/>
            <color rgb="FF000000"/>
            <rFont val="Microsoft YaHei UI"/>
            <family val="2"/>
            <charset val="134"/>
          </rPr>
          <t>请款金额</t>
        </r>
      </text>
    </comment>
    <comment ref="Q41" authorId="0" shapeId="0" xr:uid="{00000000-0006-0000-0000-000013000000}">
      <text>
        <r>
          <rPr>
            <b/>
            <sz val="10"/>
            <color rgb="FF000000"/>
            <rFont val="Calibri"/>
            <family val="2"/>
          </rPr>
          <t>已付款金额，如初次申请则为</t>
        </r>
        <r>
          <rPr>
            <b/>
            <sz val="10"/>
            <color rgb="FF000000"/>
            <rFont val="Calibri"/>
            <family val="2"/>
          </rPr>
          <t>0</t>
        </r>
      </text>
    </comment>
  </commentList>
</comments>
</file>

<file path=xl/sharedStrings.xml><?xml version="1.0" encoding="utf-8"?>
<sst xmlns="http://schemas.openxmlformats.org/spreadsheetml/2006/main" count="116" uniqueCount="86">
  <si>
    <t>PAYMENT NO: 1</t>
    <phoneticPr fontId="57" type="noConversion"/>
  </si>
  <si>
    <t xml:space="preserve">Project: </t>
  </si>
  <si>
    <t>Apple SARL Phase 5 Build Out Project</t>
  </si>
  <si>
    <t>Division:</t>
  </si>
  <si>
    <t>212-4</t>
    <phoneticPr fontId="57" type="noConversion"/>
  </si>
  <si>
    <t xml:space="preserve">Vendor: </t>
  </si>
  <si>
    <t>供应商名称</t>
    <phoneticPr fontId="57" type="noConversion"/>
  </si>
  <si>
    <t>Work Package:</t>
  </si>
  <si>
    <t>服务内容</t>
    <phoneticPr fontId="57" type="noConversion"/>
  </si>
  <si>
    <r>
      <rPr>
        <b/>
        <sz val="11"/>
        <color indexed="8"/>
        <rFont val="Verdana"/>
        <family val="2"/>
      </rPr>
      <t>Vendor Reference Number:</t>
    </r>
    <r>
      <rPr>
        <sz val="11"/>
        <color indexed="8"/>
        <rFont val="Verdana"/>
        <family val="2"/>
      </rPr>
      <t xml:space="preserve"> </t>
    </r>
  </si>
  <si>
    <r>
      <rPr>
        <sz val="11"/>
        <rFont val="Microsoft YaHei"/>
        <family val="2"/>
        <charset val="134"/>
      </rPr>
      <t>供应商编号（</t>
    </r>
    <r>
      <rPr>
        <sz val="11"/>
        <rFont val="Verdana"/>
        <family val="2"/>
      </rPr>
      <t>PO</t>
    </r>
    <r>
      <rPr>
        <sz val="11"/>
        <rFont val="Microsoft YaHei"/>
        <family val="2"/>
        <charset val="134"/>
      </rPr>
      <t>单里有）</t>
    </r>
    <phoneticPr fontId="57" type="noConversion"/>
  </si>
  <si>
    <t xml:space="preserve">PO Number : </t>
  </si>
  <si>
    <r>
      <t>PO</t>
    </r>
    <r>
      <rPr>
        <sz val="11"/>
        <rFont val="Microsoft YaHei"/>
        <family val="2"/>
        <charset val="134"/>
      </rPr>
      <t>号</t>
    </r>
    <phoneticPr fontId="57" type="noConversion"/>
  </si>
  <si>
    <t>PO Value:</t>
  </si>
  <si>
    <r>
      <t>PO</t>
    </r>
    <r>
      <rPr>
        <sz val="11"/>
        <rFont val="Microsoft YaHei"/>
        <family val="2"/>
        <charset val="134"/>
      </rPr>
      <t>金额</t>
    </r>
    <phoneticPr fontId="57" type="noConversion"/>
  </si>
  <si>
    <t>(CNY exclude xx% VAT)</t>
    <phoneticPr fontId="57" type="noConversion"/>
  </si>
  <si>
    <t xml:space="preserve">Contract Value: </t>
  </si>
  <si>
    <r>
      <rPr>
        <sz val="11"/>
        <rFont val="Microsoft YaHei"/>
        <family val="2"/>
        <charset val="134"/>
      </rPr>
      <t>供应商名称</t>
    </r>
    <r>
      <rPr>
        <sz val="11"/>
        <rFont val="Verdana"/>
        <family val="2"/>
      </rPr>
      <t xml:space="preserve">														</t>
    </r>
    <phoneticPr fontId="57" type="noConversion"/>
  </si>
  <si>
    <t>Office Address:</t>
  </si>
  <si>
    <t xml:space="preserve">Contact Point: </t>
  </si>
  <si>
    <t>联系人姓名</t>
    <phoneticPr fontId="57" type="noConversion"/>
  </si>
  <si>
    <t>公司地址</t>
    <phoneticPr fontId="57" type="noConversion"/>
  </si>
  <si>
    <t xml:space="preserve">Contact Number: </t>
  </si>
  <si>
    <t>联系人手机号</t>
    <phoneticPr fontId="57" type="noConversion"/>
  </si>
  <si>
    <t xml:space="preserve">Office: </t>
  </si>
  <si>
    <t>公司电话（如有）</t>
    <phoneticPr fontId="57" type="noConversion"/>
  </si>
  <si>
    <t>Payment Claim No.</t>
  </si>
  <si>
    <t>Apple R&amp;D (Beijing) Limited</t>
  </si>
  <si>
    <t>所有请款节点，金额及条件</t>
    <phoneticPr fontId="57" type="noConversion"/>
  </si>
  <si>
    <t xml:space="preserve">Period </t>
  </si>
  <si>
    <t>Contract Value</t>
  </si>
  <si>
    <t>RMB</t>
  </si>
  <si>
    <t>Add: Variations to-date</t>
  </si>
  <si>
    <t>Adjusted Contract Value</t>
  </si>
  <si>
    <t>本次请款节点</t>
    <phoneticPr fontId="57" type="noConversion"/>
  </si>
  <si>
    <t>本次请款金额</t>
    <phoneticPr fontId="57" type="noConversion"/>
  </si>
  <si>
    <t xml:space="preserve">Total Invoice Value </t>
  </si>
  <si>
    <t xml:space="preserve">LESS payment previously certified </t>
    <phoneticPr fontId="57" type="noConversion"/>
  </si>
  <si>
    <t>TOTAL CLAIM</t>
    <phoneticPr fontId="57" type="noConversion"/>
  </si>
  <si>
    <t xml:space="preserve">PAYMENT APPROVALS </t>
  </si>
  <si>
    <t>Date</t>
  </si>
  <si>
    <t>Signature</t>
    <phoneticPr fontId="57" type="noConversion"/>
  </si>
  <si>
    <t>Project Manager</t>
  </si>
  <si>
    <t>Notes:</t>
  </si>
  <si>
    <t>Please note the following assumptions</t>
  </si>
  <si>
    <t xml:space="preserve">(a) This invoice without VAT  </t>
    <phoneticPr fontId="57" type="noConversion"/>
  </si>
  <si>
    <t>(b) Please see attached email for approval.</t>
  </si>
  <si>
    <t>AMOUNT</t>
  </si>
  <si>
    <t>1)</t>
  </si>
  <si>
    <t>ADVANCE PAYMENT AS PER ADVACE PAYMENT CERTIFICATE NO. 1 - Feb 2014 (TBC)</t>
  </si>
  <si>
    <t>3)</t>
  </si>
  <si>
    <t>LESS : ADVANCE PAYMENT PAYBACK TO DATE</t>
  </si>
  <si>
    <t>Payback</t>
  </si>
  <si>
    <t>Included in</t>
  </si>
  <si>
    <t>Certificate</t>
  </si>
  <si>
    <t>Payback Amount</t>
  </si>
  <si>
    <t>Payment No</t>
  </si>
  <si>
    <t>Certificate No</t>
  </si>
  <si>
    <t>No 1</t>
  </si>
  <si>
    <t>No 2</t>
  </si>
  <si>
    <t>No 3</t>
  </si>
  <si>
    <t>No 4</t>
  </si>
  <si>
    <t>No 5</t>
  </si>
  <si>
    <t>No 6</t>
  </si>
  <si>
    <t>No 7</t>
  </si>
  <si>
    <t>No 8</t>
  </si>
  <si>
    <t>No 9</t>
  </si>
  <si>
    <t>No 10</t>
  </si>
  <si>
    <t>No 11 + 12</t>
  </si>
  <si>
    <t>No 11</t>
  </si>
  <si>
    <t>No 13</t>
  </si>
  <si>
    <t>No 12</t>
  </si>
  <si>
    <t>No 14</t>
  </si>
  <si>
    <t>No 15</t>
  </si>
  <si>
    <t>No 16</t>
  </si>
  <si>
    <t>No 17</t>
  </si>
  <si>
    <t>No 18</t>
  </si>
  <si>
    <t>No 19</t>
  </si>
  <si>
    <t>No 20</t>
  </si>
  <si>
    <t>No 21</t>
  </si>
  <si>
    <t>No 22</t>
  </si>
  <si>
    <t>No 23</t>
  </si>
  <si>
    <t>No 24</t>
  </si>
  <si>
    <t>No 25</t>
  </si>
  <si>
    <t>ADVANCE PAYMENT BALANCE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</si>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</sst>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&quot;$&quot;#,##0.00;\-&quot;$&quot;#,##0.00"/>
    <numFmt numFmtId="171" formatCode="0.0%"/>
    <numFmt numFmtId="172" formatCode="0.000&quot;  &quot;"/>
    <numFmt numFmtId="173" formatCode="&quot;$&quot;#,##0.00000000_);[Red]\(&quot;$&quot;#,##0.00000000\)"/>
    <numFmt numFmtId="174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5" formatCode="#,##0\ &quot;F&quot;;[Red]\-#,##0\ &quot;F&quot;"/>
    <numFmt numFmtId="176" formatCode="#,##0.00\ &quot;F&quot;;[Red]\-#,##0.00\ &quot;F&quot;"/>
    <numFmt numFmtId="177" formatCode="[$₩-412]#,##0"/>
    <numFmt numFmtId="178" formatCode="_ [$R-1C09]\ * #,##0.00_ ;_ [$R-1C09]\ * \-#,##0.00_ ;_ [$R-1C09]\ * &quot;-&quot;??_ ;_ @_ "/>
    <numFmt numFmtId="179" formatCode="_ [$KRW]\ * #,##0_ ;_ [$KRW]\ * \-#,##0_ ;_ [$KRW]\ * &quot;-&quot;_ ;_ @_ "/>
    <numFmt numFmtId="180" formatCode="[$-1C09]dd\ mmmm\ yyyy;@"/>
    <numFmt numFmtId="181" formatCode="_ [$¥-804]* #,##0.00_ ;_ [$¥-804]* \-#,##0.00_ ;_ [$¥-804]* &quot;-&quot;??_ ;_ @_ "/>
  </numFmts>
  <fonts count="78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Arial"/>
      <family val="2"/>
    </font>
    <font>
      <sz val="8"/>
      <name val="Times New Roman"/>
      <family val="1"/>
    </font>
    <font>
      <sz val="10"/>
      <name val="TimesNewRomanPS"/>
    </font>
    <font>
      <sz val="11"/>
      <color indexed="20"/>
      <name val="Calibri"/>
      <family val="2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b/>
      <sz val="12"/>
      <color indexed="33"/>
      <name val="Times New Roman"/>
      <family val="1"/>
    </font>
    <font>
      <sz val="11"/>
      <color indexed="17"/>
      <name val="Calibri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</font>
    <font>
      <b/>
      <sz val="10"/>
      <color indexed="9"/>
      <name val="Arial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7"/>
      <name val="Small Fonts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sz val="12"/>
      <color indexed="9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8.25"/>
      <name val="Helv"/>
    </font>
    <font>
      <sz val="10"/>
      <color indexed="12"/>
      <name val="Geneva"/>
      <family val="2"/>
    </font>
    <font>
      <sz val="8"/>
      <name val="MS Sans Serif"/>
      <family val="2"/>
    </font>
    <font>
      <b/>
      <sz val="8"/>
      <color indexed="8"/>
      <name val="Helv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明朝"/>
      <family val="1"/>
    </font>
    <font>
      <b/>
      <sz val="10"/>
      <color indexed="9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  <font>
      <b/>
      <sz val="8.5"/>
      <color indexed="8"/>
      <name val="Verdana"/>
      <family val="2"/>
    </font>
    <font>
      <sz val="8.5"/>
      <color indexed="8"/>
      <name val="Verdana"/>
      <family val="2"/>
    </font>
    <font>
      <sz val="8.5"/>
      <name val="Verdana"/>
      <family val="2"/>
    </font>
    <font>
      <b/>
      <sz val="10"/>
      <name val="Verdana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u/>
      <sz val="10"/>
      <name val="Verdana"/>
      <family val="2"/>
    </font>
    <font>
      <b/>
      <sz val="11"/>
      <name val="Verdana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1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1"/>
      <color rgb="FFFF0000"/>
      <name val="Verdana"/>
      <family val="2"/>
    </font>
    <font>
      <b/>
      <u/>
      <sz val="11"/>
      <color indexed="8"/>
      <name val="Verdana"/>
      <family val="2"/>
    </font>
    <font>
      <u/>
      <sz val="11"/>
      <color indexed="8"/>
      <name val="Verdana"/>
      <family val="2"/>
    </font>
    <font>
      <b/>
      <sz val="11"/>
      <color theme="1"/>
      <name val="Verdana"/>
      <family val="2"/>
    </font>
    <font>
      <sz val="10"/>
      <color indexed="81"/>
      <name val="Calibri"/>
      <family val="2"/>
    </font>
    <font>
      <sz val="9"/>
      <name val="宋体"/>
      <family val="3"/>
      <charset val="134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Microsoft YaHei UI"/>
      <family val="2"/>
      <charset val="134"/>
    </font>
    <font>
      <sz val="11"/>
      <name val="Microsoft YaHei"/>
      <family val="2"/>
      <charset val="134"/>
    </font>
    <font>
      <sz val="11"/>
      <name val="Verdana"/>
      <family val="2"/>
      <charset val="134"/>
    </font>
    <font>
      <sz val="11"/>
      <color rgb="FF000000"/>
      <name val="Microsoft YaHei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0" borderId="0" applyNumberFormat="0" applyAlignment="0"/>
    <xf numFmtId="0" fontId="7" fillId="0" borderId="0">
      <alignment horizontal="center" wrapText="1"/>
      <protection locked="0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3" borderId="0" applyNumberFormat="0" applyBorder="0" applyAlignment="0" applyProtection="0"/>
    <xf numFmtId="0" fontId="8" fillId="0" borderId="0"/>
    <xf numFmtId="172" fontId="10" fillId="0" borderId="0" applyFill="0" applyBorder="0" applyAlignment="0"/>
    <xf numFmtId="171" fontId="11" fillId="0" borderId="0" applyFill="0" applyBorder="0" applyAlignment="0"/>
    <xf numFmtId="173" fontId="12" fillId="0" borderId="0" applyFill="0" applyBorder="0" applyAlignment="0"/>
    <xf numFmtId="0" fontId="13" fillId="20" borderId="1" applyNumberFormat="0" applyAlignment="0" applyProtection="0"/>
    <xf numFmtId="0" fontId="14" fillId="0" borderId="0"/>
    <xf numFmtId="0" fontId="15" fillId="21" borderId="2" applyNumberFormat="0" applyAlignment="0" applyProtection="0"/>
    <xf numFmtId="0" fontId="11" fillId="0" borderId="3" applyNumberFormat="0" applyProtection="0">
      <alignment horizontal="center" vertical="center"/>
    </xf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7" fillId="0" borderId="0" applyNumberFormat="0" applyAlignment="0">
      <alignment horizontal="left"/>
    </xf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4" fontId="6" fillId="22" borderId="0" applyFont="0" applyBorder="0"/>
    <xf numFmtId="15" fontId="12" fillId="0" borderId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2" fontId="10" fillId="0" borderId="0" applyFill="0" applyBorder="0" applyAlignment="0"/>
    <xf numFmtId="0" fontId="18" fillId="0" borderId="0" applyNumberFormat="0" applyAlignment="0">
      <alignment horizontal="left"/>
    </xf>
    <xf numFmtId="0" fontId="19" fillId="0" borderId="0" applyNumberFormat="0" applyFill="0" applyBorder="0" applyAlignment="0" applyProtection="0"/>
    <xf numFmtId="2" fontId="16" fillId="0" borderId="0" applyFont="0" applyFill="0" applyBorder="0" applyAlignment="0" applyProtection="0"/>
    <xf numFmtId="37" fontId="20" fillId="23" borderId="0">
      <protection locked="0"/>
    </xf>
    <xf numFmtId="0" fontId="21" fillId="4" borderId="0" applyNumberFormat="0" applyBorder="0" applyAlignment="0" applyProtection="0"/>
    <xf numFmtId="38" fontId="6" fillId="22" borderId="0" applyNumberFormat="0" applyBorder="0" applyAlignment="0" applyProtection="0"/>
    <xf numFmtId="0" fontId="22" fillId="0" borderId="0">
      <alignment horizontal="left"/>
    </xf>
    <xf numFmtId="0" fontId="23" fillId="0" borderId="4" applyNumberFormat="0" applyAlignment="0" applyProtection="0">
      <alignment horizontal="left" vertical="center"/>
    </xf>
    <xf numFmtId="0" fontId="23" fillId="0" borderId="5">
      <alignment horizontal="left" vertical="center"/>
    </xf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>
      <alignment horizontal="center"/>
    </xf>
    <xf numFmtId="0" fontId="27" fillId="0" borderId="0">
      <alignment horizontal="center"/>
    </xf>
    <xf numFmtId="0" fontId="28" fillId="7" borderId="1" applyNumberFormat="0" applyAlignment="0" applyProtection="0"/>
    <xf numFmtId="10" fontId="6" fillId="24" borderId="10" applyNumberFormat="0" applyBorder="0" applyAlignment="0" applyProtection="0"/>
    <xf numFmtId="38" fontId="2" fillId="23" borderId="0">
      <protection locked="0"/>
    </xf>
    <xf numFmtId="172" fontId="10" fillId="0" borderId="0" applyFill="0" applyBorder="0" applyAlignment="0"/>
    <xf numFmtId="0" fontId="29" fillId="0" borderId="11" applyNumberFormat="0" applyFill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30" fillId="0" borderId="9"/>
    <xf numFmtId="175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44" fontId="31" fillId="25" borderId="0">
      <alignment vertical="top"/>
    </xf>
    <xf numFmtId="0" fontId="32" fillId="26" borderId="0" applyNumberFormat="0" applyBorder="0" applyAlignment="0" applyProtection="0"/>
    <xf numFmtId="0" fontId="33" fillId="0" borderId="0"/>
    <xf numFmtId="37" fontId="34" fillId="0" borderId="0"/>
    <xf numFmtId="166" fontId="35" fillId="0" borderId="0"/>
    <xf numFmtId="172" fontId="10" fillId="0" borderId="0"/>
    <xf numFmtId="0" fontId="11" fillId="0" borderId="0"/>
    <xf numFmtId="0" fontId="1" fillId="0" borderId="0"/>
    <xf numFmtId="0" fontId="4" fillId="27" borderId="12" applyNumberFormat="0" applyFont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6" fillId="20" borderId="13" applyNumberFormat="0" applyAlignment="0" applyProtection="0"/>
    <xf numFmtId="14" fontId="7" fillId="0" borderId="0">
      <alignment horizontal="center" wrapText="1"/>
      <protection locked="0"/>
    </xf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2" fontId="10" fillId="0" borderId="0" applyFill="0" applyBorder="0" applyAlignment="0"/>
    <xf numFmtId="0" fontId="37" fillId="0" borderId="14" applyNumberFormat="0" applyBorder="0" applyAlignment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38" fillId="0" borderId="9">
      <alignment horizontal="center"/>
    </xf>
    <xf numFmtId="3" fontId="12" fillId="0" borderId="0" applyFont="0" applyFill="0" applyBorder="0" applyAlignment="0" applyProtection="0"/>
    <xf numFmtId="0" fontId="12" fillId="28" borderId="0" applyNumberFormat="0" applyFont="0" applyBorder="0" applyAlignment="0" applyProtection="0"/>
    <xf numFmtId="0" fontId="39" fillId="29" borderId="0" applyNumberFormat="0" applyFont="0" applyBorder="0" applyAlignment="0">
      <alignment horizontal="center"/>
    </xf>
    <xf numFmtId="14" fontId="40" fillId="0" borderId="0" applyNumberFormat="0" applyFill="0" applyBorder="0" applyAlignment="0" applyProtection="0">
      <alignment horizontal="left"/>
    </xf>
    <xf numFmtId="0" fontId="41" fillId="30" borderId="15"/>
    <xf numFmtId="0" fontId="39" fillId="1" borderId="5" applyNumberFormat="0" applyFont="0" applyAlignment="0">
      <alignment horizontal="center"/>
    </xf>
    <xf numFmtId="0" fontId="42" fillId="0" borderId="0">
      <alignment horizontal="center"/>
    </xf>
    <xf numFmtId="0" fontId="43" fillId="0" borderId="0" applyNumberFormat="0" applyFill="0" applyBorder="0" applyAlignment="0">
      <alignment horizontal="center"/>
    </xf>
    <xf numFmtId="176" fontId="12" fillId="0" borderId="0">
      <alignment horizontal="center"/>
    </xf>
    <xf numFmtId="0" fontId="2" fillId="0" borderId="0"/>
    <xf numFmtId="0" fontId="30" fillId="0" borderId="0"/>
    <xf numFmtId="40" fontId="44" fillId="0" borderId="0" applyBorder="0">
      <alignment horizontal="right"/>
    </xf>
    <xf numFmtId="49" fontId="45" fillId="0" borderId="0" applyFill="0" applyBorder="0" applyAlignment="0"/>
    <xf numFmtId="172" fontId="10" fillId="0" borderId="0" applyFill="0" applyBorder="0" applyAlignment="0"/>
    <xf numFmtId="0" fontId="46" fillId="0" borderId="0" applyNumberFormat="0" applyFill="0" applyBorder="0" applyAlignment="0" applyProtection="0"/>
    <xf numFmtId="0" fontId="47" fillId="0" borderId="16" applyNumberFormat="0" applyFill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65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49" fillId="0" borderId="0"/>
    <xf numFmtId="4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0" fontId="1" fillId="0" borderId="0"/>
    <xf numFmtId="171" fontId="1" fillId="0" borderId="0" applyFill="0" applyBorder="0" applyAlignment="0"/>
    <xf numFmtId="0" fontId="1" fillId="0" borderId="3" applyNumberFormat="0" applyProtection="0">
      <alignment horizontal="center"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4" fontId="40" fillId="0" borderId="0" applyNumberFormat="0" applyFill="0" applyBorder="0" applyAlignment="0" applyProtection="0">
      <alignment horizontal="left"/>
    </xf>
    <xf numFmtId="0" fontId="1" fillId="0" borderId="0"/>
  </cellStyleXfs>
  <cellXfs count="186">
    <xf numFmtId="0" fontId="0" fillId="0" borderId="0" xfId="0"/>
    <xf numFmtId="0" fontId="54" fillId="0" borderId="0" xfId="0" applyFont="1" applyAlignment="1">
      <alignment vertical="top"/>
    </xf>
    <xf numFmtId="0" fontId="55" fillId="0" borderId="0" xfId="0" applyFont="1"/>
    <xf numFmtId="0" fontId="53" fillId="0" borderId="0" xfId="0" applyFont="1" applyAlignment="1">
      <alignment vertical="top"/>
    </xf>
    <xf numFmtId="40" fontId="54" fillId="0" borderId="0" xfId="0" applyNumberFormat="1" applyFont="1" applyAlignment="1">
      <alignment vertical="top" wrapText="1"/>
    </xf>
    <xf numFmtId="43" fontId="53" fillId="0" borderId="0" xfId="43" applyFont="1" applyFill="1" applyAlignment="1">
      <alignment vertical="top"/>
    </xf>
    <xf numFmtId="169" fontId="54" fillId="0" borderId="0" xfId="0" applyNumberFormat="1" applyFont="1" applyAlignment="1">
      <alignment vertical="top"/>
    </xf>
    <xf numFmtId="43" fontId="54" fillId="0" borderId="0" xfId="0" applyNumberFormat="1" applyFont="1" applyAlignment="1">
      <alignment vertical="top"/>
    </xf>
    <xf numFmtId="0" fontId="51" fillId="0" borderId="0" xfId="0" applyFont="1"/>
    <xf numFmtId="0" fontId="51" fillId="0" borderId="0" xfId="87" applyFont="1" applyAlignment="1">
      <alignment vertical="top"/>
    </xf>
    <xf numFmtId="0" fontId="1" fillId="31" borderId="0" xfId="87" applyFill="1"/>
    <xf numFmtId="43" fontId="54" fillId="0" borderId="0" xfId="43" applyFont="1" applyFill="1" applyAlignment="1">
      <alignment vertical="top"/>
    </xf>
    <xf numFmtId="0" fontId="55" fillId="0" borderId="0" xfId="0" applyFont="1" applyAlignment="1">
      <alignment horizontal="center" vertical="top"/>
    </xf>
    <xf numFmtId="0" fontId="54" fillId="0" borderId="0" xfId="0" applyFont="1" applyAlignment="1">
      <alignment horizontal="center" vertical="top"/>
    </xf>
    <xf numFmtId="43" fontId="54" fillId="0" borderId="0" xfId="43" applyFont="1" applyFill="1" applyBorder="1" applyAlignment="1">
      <alignment vertical="top"/>
    </xf>
    <xf numFmtId="177" fontId="54" fillId="0" borderId="0" xfId="43" applyNumberFormat="1" applyFont="1" applyFill="1" applyBorder="1" applyAlignment="1">
      <alignment horizontal="right" vertical="top" wrapText="1"/>
    </xf>
    <xf numFmtId="0" fontId="1" fillId="0" borderId="0" xfId="0" applyFont="1"/>
    <xf numFmtId="0" fontId="0" fillId="0" borderId="0" xfId="0" applyAlignment="1">
      <alignment horizontal="right"/>
    </xf>
    <xf numFmtId="0" fontId="58" fillId="0" borderId="0" xfId="0" applyFont="1" applyAlignment="1">
      <alignment horizontal="right"/>
    </xf>
    <xf numFmtId="4" fontId="58" fillId="0" borderId="44" xfId="0" applyNumberFormat="1" applyFont="1" applyBorder="1"/>
    <xf numFmtId="0" fontId="59" fillId="0" borderId="0" xfId="0" applyFont="1" applyAlignment="1">
      <alignment horizontal="center"/>
    </xf>
    <xf numFmtId="0" fontId="51" fillId="0" borderId="0" xfId="0" applyFont="1" applyAlignment="1">
      <alignment horizontal="right"/>
    </xf>
    <xf numFmtId="178" fontId="51" fillId="0" borderId="0" xfId="0" applyNumberFormat="1" applyFont="1"/>
    <xf numFmtId="0" fontId="51" fillId="0" borderId="0" xfId="0" applyFont="1" applyAlignment="1">
      <alignment horizontal="left"/>
    </xf>
    <xf numFmtId="179" fontId="51" fillId="0" borderId="0" xfId="0" applyNumberFormat="1" applyFont="1"/>
    <xf numFmtId="180" fontId="51" fillId="0" borderId="0" xfId="0" applyNumberFormat="1" applyFont="1"/>
    <xf numFmtId="17" fontId="51" fillId="0" borderId="0" xfId="0" applyNumberFormat="1" applyFont="1"/>
    <xf numFmtId="17" fontId="0" fillId="0" borderId="0" xfId="0" applyNumberFormat="1"/>
    <xf numFmtId="177" fontId="0" fillId="0" borderId="0" xfId="0" applyNumberFormat="1"/>
    <xf numFmtId="179" fontId="51" fillId="33" borderId="0" xfId="0" applyNumberFormat="1" applyFont="1" applyFill="1"/>
    <xf numFmtId="4" fontId="0" fillId="0" borderId="0" xfId="0" applyNumberFormat="1"/>
    <xf numFmtId="179" fontId="51" fillId="34" borderId="0" xfId="0" applyNumberFormat="1" applyFont="1" applyFill="1"/>
    <xf numFmtId="0" fontId="64" fillId="32" borderId="0" xfId="0" applyFont="1" applyFill="1" applyAlignment="1">
      <alignment vertical="top"/>
    </xf>
    <xf numFmtId="0" fontId="63" fillId="32" borderId="0" xfId="0" applyFont="1" applyFill="1" applyAlignment="1">
      <alignment vertical="top"/>
    </xf>
    <xf numFmtId="0" fontId="60" fillId="32" borderId="0" xfId="0" applyFont="1" applyFill="1" applyAlignment="1">
      <alignment vertical="top"/>
    </xf>
    <xf numFmtId="0" fontId="50" fillId="32" borderId="38" xfId="87" applyFont="1" applyFill="1" applyBorder="1" applyAlignment="1">
      <alignment vertical="center"/>
    </xf>
    <xf numFmtId="0" fontId="60" fillId="32" borderId="39" xfId="87" applyFont="1" applyFill="1" applyBorder="1" applyAlignment="1">
      <alignment vertical="center"/>
    </xf>
    <xf numFmtId="0" fontId="61" fillId="32" borderId="39" xfId="87" applyFont="1" applyFill="1" applyBorder="1"/>
    <xf numFmtId="0" fontId="62" fillId="32" borderId="39" xfId="87" applyFont="1" applyFill="1" applyBorder="1"/>
    <xf numFmtId="0" fontId="63" fillId="32" borderId="39" xfId="87" applyFont="1" applyFill="1" applyBorder="1" applyAlignment="1">
      <alignment vertical="top"/>
    </xf>
    <xf numFmtId="39" fontId="63" fillId="32" borderId="39" xfId="87" applyNumberFormat="1" applyFont="1" applyFill="1" applyBorder="1" applyAlignment="1">
      <alignment vertical="top"/>
    </xf>
    <xf numFmtId="0" fontId="63" fillId="32" borderId="40" xfId="87" applyFont="1" applyFill="1" applyBorder="1" applyAlignment="1">
      <alignment vertical="top"/>
    </xf>
    <xf numFmtId="0" fontId="52" fillId="32" borderId="20" xfId="0" applyFont="1" applyFill="1" applyBorder="1" applyAlignment="1">
      <alignment vertical="top"/>
    </xf>
    <xf numFmtId="0" fontId="65" fillId="32" borderId="21" xfId="0" applyFont="1" applyFill="1" applyBorder="1" applyAlignment="1">
      <alignment vertical="top"/>
    </xf>
    <xf numFmtId="0" fontId="65" fillId="32" borderId="0" xfId="0" applyFont="1" applyFill="1" applyAlignment="1">
      <alignment vertical="top"/>
    </xf>
    <xf numFmtId="0" fontId="54" fillId="32" borderId="22" xfId="0" applyFont="1" applyFill="1" applyBorder="1" applyAlignment="1">
      <alignment vertical="top"/>
    </xf>
    <xf numFmtId="0" fontId="65" fillId="32" borderId="24" xfId="0" applyFont="1" applyFill="1" applyBorder="1" applyAlignment="1">
      <alignment vertical="top"/>
    </xf>
    <xf numFmtId="0" fontId="54" fillId="32" borderId="20" xfId="0" applyFont="1" applyFill="1" applyBorder="1" applyAlignment="1">
      <alignment vertical="top"/>
    </xf>
    <xf numFmtId="0" fontId="63" fillId="32" borderId="0" xfId="0" applyFont="1" applyFill="1"/>
    <xf numFmtId="0" fontId="63" fillId="32" borderId="25" xfId="0" applyFont="1" applyFill="1" applyBorder="1"/>
    <xf numFmtId="0" fontId="63" fillId="32" borderId="26" xfId="0" applyFont="1" applyFill="1" applyBorder="1" applyAlignment="1">
      <alignment vertical="top"/>
    </xf>
    <xf numFmtId="0" fontId="64" fillId="32" borderId="25" xfId="0" applyFont="1" applyFill="1" applyBorder="1" applyAlignment="1">
      <alignment vertical="top"/>
    </xf>
    <xf numFmtId="0" fontId="63" fillId="32" borderId="25" xfId="0" applyFont="1" applyFill="1" applyBorder="1" applyAlignment="1">
      <alignment vertical="top"/>
    </xf>
    <xf numFmtId="0" fontId="54" fillId="32" borderId="0" xfId="0" applyFont="1" applyFill="1" applyAlignment="1">
      <alignment vertical="top"/>
    </xf>
    <xf numFmtId="0" fontId="63" fillId="32" borderId="23" xfId="0" applyFont="1" applyFill="1" applyBorder="1" applyAlignment="1">
      <alignment vertical="top"/>
    </xf>
    <xf numFmtId="0" fontId="63" fillId="32" borderId="27" xfId="0" applyFont="1" applyFill="1" applyBorder="1" applyAlignment="1">
      <alignment vertical="top"/>
    </xf>
    <xf numFmtId="0" fontId="63" fillId="32" borderId="28" xfId="0" applyFont="1" applyFill="1" applyBorder="1" applyAlignment="1">
      <alignment vertical="top"/>
    </xf>
    <xf numFmtId="0" fontId="54" fillId="32" borderId="17" xfId="0" applyFont="1" applyFill="1" applyBorder="1" applyAlignment="1">
      <alignment vertical="top"/>
    </xf>
    <xf numFmtId="0" fontId="65" fillId="32" borderId="18" xfId="0" applyFont="1" applyFill="1" applyBorder="1" applyAlignment="1">
      <alignment vertical="top"/>
    </xf>
    <xf numFmtId="0" fontId="65" fillId="32" borderId="29" xfId="0" applyFont="1" applyFill="1" applyBorder="1" applyAlignment="1">
      <alignment vertical="top"/>
    </xf>
    <xf numFmtId="0" fontId="65" fillId="32" borderId="30" xfId="0" applyFont="1" applyFill="1" applyBorder="1" applyAlignment="1">
      <alignment vertical="top"/>
    </xf>
    <xf numFmtId="40" fontId="65" fillId="32" borderId="18" xfId="0" applyNumberFormat="1" applyFont="1" applyFill="1" applyBorder="1" applyAlignment="1">
      <alignment vertical="top" wrapText="1"/>
    </xf>
    <xf numFmtId="0" fontId="65" fillId="32" borderId="19" xfId="0" applyFont="1" applyFill="1" applyBorder="1" applyAlignment="1">
      <alignment vertical="top"/>
    </xf>
    <xf numFmtId="0" fontId="65" fillId="32" borderId="26" xfId="0" applyFont="1" applyFill="1" applyBorder="1" applyAlignment="1">
      <alignment vertical="top"/>
    </xf>
    <xf numFmtId="0" fontId="65" fillId="32" borderId="25" xfId="0" applyFont="1" applyFill="1" applyBorder="1" applyAlignment="1">
      <alignment vertical="top"/>
    </xf>
    <xf numFmtId="0" fontId="64" fillId="32" borderId="0" xfId="0" applyFont="1" applyFill="1" applyAlignment="1">
      <alignment horizontal="center" vertical="top"/>
    </xf>
    <xf numFmtId="0" fontId="64" fillId="32" borderId="0" xfId="0" applyFont="1" applyFill="1" applyAlignment="1">
      <alignment horizontal="left" vertical="top"/>
    </xf>
    <xf numFmtId="38" fontId="67" fillId="32" borderId="0" xfId="0" applyNumberFormat="1" applyFont="1" applyFill="1" applyAlignment="1">
      <alignment horizontal="center" vertical="top" wrapText="1"/>
    </xf>
    <xf numFmtId="40" fontId="65" fillId="32" borderId="0" xfId="0" applyNumberFormat="1" applyFont="1" applyFill="1" applyAlignment="1">
      <alignment vertical="top" wrapText="1"/>
    </xf>
    <xf numFmtId="0" fontId="65" fillId="32" borderId="28" xfId="0" applyFont="1" applyFill="1" applyBorder="1" applyAlignment="1">
      <alignment vertical="top"/>
    </xf>
    <xf numFmtId="0" fontId="65" fillId="32" borderId="23" xfId="0" applyFont="1" applyFill="1" applyBorder="1" applyAlignment="1">
      <alignment vertical="top"/>
    </xf>
    <xf numFmtId="40" fontId="65" fillId="32" borderId="23" xfId="0" applyNumberFormat="1" applyFont="1" applyFill="1" applyBorder="1" applyAlignment="1">
      <alignment vertical="top" wrapText="1"/>
    </xf>
    <xf numFmtId="0" fontId="64" fillId="32" borderId="23" xfId="0" applyFont="1" applyFill="1" applyBorder="1" applyAlignment="1">
      <alignment vertical="top"/>
    </xf>
    <xf numFmtId="0" fontId="65" fillId="32" borderId="27" xfId="0" applyFont="1" applyFill="1" applyBorder="1" applyAlignment="1">
      <alignment vertical="top"/>
    </xf>
    <xf numFmtId="0" fontId="65" fillId="32" borderId="5" xfId="0" applyFont="1" applyFill="1" applyBorder="1" applyAlignment="1">
      <alignment vertical="top"/>
    </xf>
    <xf numFmtId="40" fontId="65" fillId="32" borderId="0" xfId="43" applyNumberFormat="1" applyFont="1" applyFill="1" applyBorder="1" applyAlignment="1">
      <alignment horizontal="left" vertical="top" wrapText="1"/>
    </xf>
    <xf numFmtId="40" fontId="64" fillId="32" borderId="0" xfId="43" applyNumberFormat="1" applyFont="1" applyFill="1" applyBorder="1" applyAlignment="1">
      <alignment horizontal="left" vertical="top" wrapText="1"/>
    </xf>
    <xf numFmtId="44" fontId="65" fillId="32" borderId="0" xfId="47" applyFont="1" applyFill="1" applyBorder="1" applyAlignment="1">
      <alignment horizontal="left" vertical="top"/>
    </xf>
    <xf numFmtId="40" fontId="65" fillId="32" borderId="0" xfId="43" applyNumberFormat="1" applyFont="1" applyFill="1" applyBorder="1" applyAlignment="1">
      <alignment horizontal="right" vertical="top" wrapText="1"/>
    </xf>
    <xf numFmtId="0" fontId="63" fillId="32" borderId="0" xfId="0" applyFont="1" applyFill="1" applyAlignment="1">
      <alignment vertical="top" wrapText="1"/>
    </xf>
    <xf numFmtId="0" fontId="54" fillId="32" borderId="31" xfId="0" applyFont="1" applyFill="1" applyBorder="1" applyAlignment="1">
      <alignment vertical="top"/>
    </xf>
    <xf numFmtId="0" fontId="64" fillId="32" borderId="15" xfId="0" applyFont="1" applyFill="1" applyBorder="1" applyAlignment="1">
      <alignment vertical="top"/>
    </xf>
    <xf numFmtId="0" fontId="65" fillId="32" borderId="15" xfId="0" applyFont="1" applyFill="1" applyBorder="1" applyAlignment="1">
      <alignment vertical="top"/>
    </xf>
    <xf numFmtId="0" fontId="65" fillId="32" borderId="32" xfId="0" applyFont="1" applyFill="1" applyBorder="1" applyAlignment="1">
      <alignment vertical="top"/>
    </xf>
    <xf numFmtId="0" fontId="65" fillId="32" borderId="33" xfId="0" applyFont="1" applyFill="1" applyBorder="1" applyAlignment="1">
      <alignment vertical="top"/>
    </xf>
    <xf numFmtId="40" fontId="65" fillId="32" borderId="15" xfId="0" applyNumberFormat="1" applyFont="1" applyFill="1" applyBorder="1" applyAlignment="1">
      <alignment vertical="top" wrapText="1"/>
    </xf>
    <xf numFmtId="0" fontId="65" fillId="32" borderId="34" xfId="0" applyFont="1" applyFill="1" applyBorder="1" applyAlignment="1">
      <alignment vertical="top"/>
    </xf>
    <xf numFmtId="0" fontId="65" fillId="32" borderId="35" xfId="0" applyFont="1" applyFill="1" applyBorder="1" applyAlignment="1">
      <alignment vertical="top"/>
    </xf>
    <xf numFmtId="40" fontId="65" fillId="32" borderId="36" xfId="0" applyNumberFormat="1" applyFont="1" applyFill="1" applyBorder="1" applyAlignment="1">
      <alignment vertical="top" wrapText="1"/>
    </xf>
    <xf numFmtId="0" fontId="65" fillId="32" borderId="37" xfId="0" applyFont="1" applyFill="1" applyBorder="1" applyAlignment="1">
      <alignment vertical="top"/>
    </xf>
    <xf numFmtId="177" fontId="65" fillId="32" borderId="0" xfId="43" applyNumberFormat="1" applyFont="1" applyFill="1" applyBorder="1" applyAlignment="1">
      <alignment horizontal="right" vertical="top" wrapText="1"/>
    </xf>
    <xf numFmtId="40" fontId="64" fillId="32" borderId="23" xfId="43" applyNumberFormat="1" applyFont="1" applyFill="1" applyBorder="1" applyAlignment="1">
      <alignment horizontal="left" vertical="top" wrapText="1"/>
    </xf>
    <xf numFmtId="0" fontId="53" fillId="32" borderId="20" xfId="0" applyFont="1" applyFill="1" applyBorder="1" applyAlignment="1">
      <alignment vertical="top"/>
    </xf>
    <xf numFmtId="0" fontId="64" fillId="32" borderId="26" xfId="0" applyFont="1" applyFill="1" applyBorder="1" applyAlignment="1">
      <alignment vertical="top"/>
    </xf>
    <xf numFmtId="0" fontId="64" fillId="32" borderId="21" xfId="0" applyFont="1" applyFill="1" applyBorder="1" applyAlignment="1">
      <alignment vertical="top"/>
    </xf>
    <xf numFmtId="3" fontId="64" fillId="32" borderId="0" xfId="43" applyNumberFormat="1" applyFont="1" applyFill="1" applyBorder="1" applyAlignment="1">
      <alignment horizontal="right" vertical="top" wrapText="1"/>
    </xf>
    <xf numFmtId="3" fontId="65" fillId="32" borderId="0" xfId="0" applyNumberFormat="1" applyFont="1" applyFill="1" applyAlignment="1">
      <alignment vertical="top" wrapText="1"/>
    </xf>
    <xf numFmtId="0" fontId="64" fillId="32" borderId="28" xfId="0" applyFont="1" applyFill="1" applyBorder="1" applyAlignment="1">
      <alignment vertical="top"/>
    </xf>
    <xf numFmtId="3" fontId="65" fillId="32" borderId="23" xfId="43" applyNumberFormat="1" applyFont="1" applyFill="1" applyBorder="1" applyAlignment="1">
      <alignment horizontal="right" vertical="top" wrapText="1"/>
    </xf>
    <xf numFmtId="0" fontId="64" fillId="32" borderId="24" xfId="0" applyFont="1" applyFill="1" applyBorder="1" applyAlignment="1">
      <alignment vertical="top"/>
    </xf>
    <xf numFmtId="0" fontId="64" fillId="32" borderId="0" xfId="0" applyFont="1" applyFill="1" applyAlignment="1">
      <alignment vertical="top" wrapText="1"/>
    </xf>
    <xf numFmtId="0" fontId="61" fillId="32" borderId="0" xfId="0" applyFont="1" applyFill="1" applyAlignment="1">
      <alignment vertical="top" wrapText="1"/>
    </xf>
    <xf numFmtId="39" fontId="64" fillId="32" borderId="0" xfId="43" applyNumberFormat="1" applyFont="1" applyFill="1" applyBorder="1" applyAlignment="1">
      <alignment horizontal="right" vertical="top" wrapText="1"/>
    </xf>
    <xf numFmtId="0" fontId="64" fillId="32" borderId="18" xfId="0" applyFont="1" applyFill="1" applyBorder="1" applyAlignment="1">
      <alignment vertical="top"/>
    </xf>
    <xf numFmtId="0" fontId="55" fillId="32" borderId="20" xfId="0" applyFont="1" applyFill="1" applyBorder="1"/>
    <xf numFmtId="0" fontId="63" fillId="32" borderId="26" xfId="0" applyFont="1" applyFill="1" applyBorder="1"/>
    <xf numFmtId="0" fontId="63" fillId="32" borderId="21" xfId="0" applyFont="1" applyFill="1" applyBorder="1"/>
    <xf numFmtId="0" fontId="64" fillId="32" borderId="26" xfId="0" applyFont="1" applyFill="1" applyBorder="1" applyAlignment="1">
      <alignment horizontal="center" vertical="top"/>
    </xf>
    <xf numFmtId="0" fontId="64" fillId="32" borderId="25" xfId="0" applyFont="1" applyFill="1" applyBorder="1" applyAlignment="1">
      <alignment horizontal="center" vertical="top" wrapText="1"/>
    </xf>
    <xf numFmtId="0" fontId="60" fillId="32" borderId="0" xfId="0" applyFont="1" applyFill="1" applyAlignment="1">
      <alignment horizontal="center" vertical="top" wrapText="1"/>
    </xf>
    <xf numFmtId="0" fontId="60" fillId="32" borderId="26" xfId="0" applyFont="1" applyFill="1" applyBorder="1" applyAlignment="1">
      <alignment horizontal="center" vertical="top" wrapText="1"/>
    </xf>
    <xf numFmtId="0" fontId="63" fillId="32" borderId="0" xfId="0" applyFont="1" applyFill="1" applyAlignment="1">
      <alignment horizontal="center" vertical="top"/>
    </xf>
    <xf numFmtId="0" fontId="63" fillId="32" borderId="21" xfId="0" applyFont="1" applyFill="1" applyBorder="1" applyAlignment="1">
      <alignment horizontal="center" vertical="top"/>
    </xf>
    <xf numFmtId="0" fontId="64" fillId="32" borderId="25" xfId="0" applyFont="1" applyFill="1" applyBorder="1" applyAlignment="1">
      <alignment horizontal="center" vertical="top"/>
    </xf>
    <xf numFmtId="0" fontId="51" fillId="32" borderId="17" xfId="0" applyFont="1" applyFill="1" applyBorder="1"/>
    <xf numFmtId="0" fontId="60" fillId="32" borderId="18" xfId="0" applyFont="1" applyFill="1" applyBorder="1" applyAlignment="1">
      <alignment horizontal="left" vertical="top" wrapText="1"/>
    </xf>
    <xf numFmtId="0" fontId="63" fillId="32" borderId="18" xfId="0" applyFont="1" applyFill="1" applyBorder="1"/>
    <xf numFmtId="0" fontId="51" fillId="32" borderId="20" xfId="0" applyFont="1" applyFill="1" applyBorder="1"/>
    <xf numFmtId="0" fontId="63" fillId="32" borderId="0" xfId="135" applyFont="1" applyFill="1" applyAlignment="1">
      <alignment horizontal="left" vertical="top"/>
    </xf>
    <xf numFmtId="0" fontId="63" fillId="32" borderId="0" xfId="135" applyFont="1" applyFill="1"/>
    <xf numFmtId="0" fontId="51" fillId="32" borderId="0" xfId="135" applyFont="1" applyFill="1"/>
    <xf numFmtId="0" fontId="56" fillId="32" borderId="20" xfId="0" applyFont="1" applyFill="1" applyBorder="1" applyAlignment="1">
      <alignment vertical="top" wrapText="1"/>
    </xf>
    <xf numFmtId="0" fontId="56" fillId="32" borderId="41" xfId="0" applyFont="1" applyFill="1" applyBorder="1" applyAlignment="1">
      <alignment vertical="top" wrapText="1"/>
    </xf>
    <xf numFmtId="0" fontId="63" fillId="32" borderId="9" xfId="135" applyFont="1" applyFill="1" applyBorder="1"/>
    <xf numFmtId="0" fontId="51" fillId="32" borderId="9" xfId="135" applyFont="1" applyFill="1" applyBorder="1"/>
    <xf numFmtId="0" fontId="65" fillId="32" borderId="42" xfId="0" applyFont="1" applyFill="1" applyBorder="1" applyAlignment="1">
      <alignment vertical="top"/>
    </xf>
    <xf numFmtId="4" fontId="64" fillId="32" borderId="0" xfId="43" applyNumberFormat="1" applyFont="1" applyFill="1" applyBorder="1" applyAlignment="1">
      <alignment horizontal="right" vertical="top" wrapText="1"/>
    </xf>
    <xf numFmtId="4" fontId="65" fillId="32" borderId="0" xfId="0" applyNumberFormat="1" applyFont="1" applyFill="1" applyAlignment="1">
      <alignment vertical="top" wrapText="1"/>
    </xf>
    <xf numFmtId="4" fontId="69" fillId="32" borderId="43" xfId="43" applyNumberFormat="1" applyFont="1" applyFill="1" applyBorder="1" applyAlignment="1">
      <alignment horizontal="right" vertical="top" wrapText="1"/>
    </xf>
    <xf numFmtId="4" fontId="65" fillId="32" borderId="23" xfId="43" applyNumberFormat="1" applyFont="1" applyFill="1" applyBorder="1" applyAlignment="1">
      <alignment horizontal="right" vertical="top" wrapText="1"/>
    </xf>
    <xf numFmtId="4" fontId="77" fillId="33" borderId="0" xfId="43" applyNumberFormat="1" applyFont="1" applyFill="1" applyBorder="1" applyAlignment="1">
      <alignment horizontal="right" vertical="top" wrapText="1"/>
    </xf>
    <xf numFmtId="0" fontId="76" fillId="33" borderId="0" xfId="0" applyFont="1" applyFill="1" applyAlignment="1">
      <alignment vertical="top"/>
    </xf>
    <xf numFmtId="0" fontId="75" fillId="33" borderId="0" xfId="0" applyFont="1" applyFill="1" applyAlignment="1">
      <alignment vertical="top"/>
    </xf>
    <xf numFmtId="0" fontId="75" fillId="33" borderId="0" xfId="0" quotePrefix="1" applyFont="1" applyFill="1" applyAlignment="1">
      <alignment horizontal="left" vertical="top"/>
    </xf>
    <xf numFmtId="0" fontId="63" fillId="33" borderId="0" xfId="0" applyFont="1" applyFill="1" applyAlignment="1">
      <alignment vertical="top"/>
    </xf>
    <xf numFmtId="0" fontId="63" fillId="33" borderId="0" xfId="0" applyFont="1" applyFill="1" applyAlignment="1">
      <alignment horizontal="left" vertical="top"/>
    </xf>
    <xf numFmtId="0" fontId="76" fillId="33" borderId="0" xfId="0" applyFont="1" applyFill="1" applyAlignment="1">
      <alignment horizontal="left" vertical="top"/>
    </xf>
    <xf numFmtId="181" fontId="63" fillId="33" borderId="0" xfId="0" applyNumberFormat="1" applyFont="1" applyFill="1" applyAlignment="1">
      <alignment vertical="center"/>
    </xf>
    <xf numFmtId="0" fontId="63" fillId="33" borderId="0" xfId="0" applyFont="1" applyFill="1" applyAlignment="1">
      <alignment vertical="center"/>
    </xf>
    <xf numFmtId="0" fontId="66" fillId="33" borderId="0" xfId="0" applyFont="1" applyFill="1" applyAlignment="1">
      <alignment vertical="top"/>
    </xf>
    <xf numFmtId="181" fontId="63" fillId="33" borderId="5" xfId="0" applyNumberFormat="1" applyFont="1" applyFill="1" applyBorder="1" applyAlignment="1">
      <alignment vertical="center"/>
    </xf>
    <xf numFmtId="0" fontId="63" fillId="33" borderId="5" xfId="0" applyFont="1" applyFill="1" applyBorder="1" applyAlignment="1">
      <alignment vertical="center"/>
    </xf>
    <xf numFmtId="0" fontId="63" fillId="33" borderId="23" xfId="0" applyFont="1" applyFill="1" applyBorder="1"/>
    <xf numFmtId="0" fontId="65" fillId="32" borderId="28" xfId="0" applyFont="1" applyFill="1" applyBorder="1" applyAlignment="1">
      <alignment horizontal="center" vertical="top"/>
    </xf>
    <xf numFmtId="0" fontId="65" fillId="32" borderId="23" xfId="0" applyFont="1" applyFill="1" applyBorder="1" applyAlignment="1">
      <alignment horizontal="center" vertical="top"/>
    </xf>
    <xf numFmtId="0" fontId="65" fillId="32" borderId="24" xfId="0" applyFont="1" applyFill="1" applyBorder="1" applyAlignment="1">
      <alignment horizontal="center" vertical="top"/>
    </xf>
    <xf numFmtId="0" fontId="64" fillId="32" borderId="0" xfId="0" applyFont="1" applyFill="1" applyAlignment="1">
      <alignment vertical="top" wrapText="1"/>
    </xf>
    <xf numFmtId="0" fontId="61" fillId="32" borderId="0" xfId="0" applyFont="1" applyFill="1" applyAlignment="1">
      <alignment vertical="top" wrapText="1"/>
    </xf>
    <xf numFmtId="0" fontId="64" fillId="32" borderId="0" xfId="0" applyFont="1" applyFill="1" applyAlignment="1">
      <alignment horizontal="center" vertical="top"/>
    </xf>
    <xf numFmtId="0" fontId="64" fillId="32" borderId="26" xfId="0" applyFont="1" applyFill="1" applyBorder="1" applyAlignment="1">
      <alignment horizontal="center" vertical="top"/>
    </xf>
    <xf numFmtId="0" fontId="64" fillId="32" borderId="25" xfId="0" applyFont="1" applyFill="1" applyBorder="1" applyAlignment="1">
      <alignment horizontal="center" vertical="top" wrapText="1"/>
    </xf>
    <xf numFmtId="0" fontId="60" fillId="32" borderId="0" xfId="0" applyFont="1" applyFill="1" applyAlignment="1">
      <alignment horizontal="center" vertical="top" wrapText="1"/>
    </xf>
    <xf numFmtId="0" fontId="60" fillId="32" borderId="26" xfId="0" applyFont="1" applyFill="1" applyBorder="1" applyAlignment="1">
      <alignment horizontal="center" vertical="top" wrapText="1"/>
    </xf>
    <xf numFmtId="0" fontId="63" fillId="32" borderId="0" xfId="0" applyFont="1" applyFill="1" applyAlignment="1">
      <alignment horizontal="center" vertical="top"/>
    </xf>
    <xf numFmtId="0" fontId="63" fillId="32" borderId="21" xfId="0" applyFont="1" applyFill="1" applyBorder="1" applyAlignment="1">
      <alignment horizontal="center" vertical="top"/>
    </xf>
    <xf numFmtId="0" fontId="64" fillId="32" borderId="25" xfId="0" applyFont="1" applyFill="1" applyBorder="1" applyAlignment="1">
      <alignment horizontal="center" vertical="top"/>
    </xf>
    <xf numFmtId="0" fontId="64" fillId="32" borderId="0" xfId="0" applyFont="1" applyFill="1" applyAlignment="1">
      <alignment horizontal="center" vertical="top" wrapText="1"/>
    </xf>
    <xf numFmtId="0" fontId="64" fillId="32" borderId="26" xfId="0" applyFont="1" applyFill="1" applyBorder="1" applyAlignment="1">
      <alignment horizontal="center" vertical="top" wrapText="1"/>
    </xf>
    <xf numFmtId="0" fontId="64" fillId="32" borderId="21" xfId="0" applyFont="1" applyFill="1" applyBorder="1" applyAlignment="1">
      <alignment horizontal="center" vertical="top"/>
    </xf>
    <xf numFmtId="0" fontId="75" fillId="33" borderId="0" xfId="0" applyFont="1" applyFill="1" applyAlignment="1">
      <alignment horizontal="left" vertical="top" wrapText="1"/>
    </xf>
    <xf numFmtId="0" fontId="63" fillId="33" borderId="0" xfId="0" applyFont="1" applyFill="1" applyAlignment="1">
      <alignment horizontal="left" vertical="top" wrapText="1"/>
    </xf>
    <xf numFmtId="3" fontId="64" fillId="32" borderId="0" xfId="43" applyNumberFormat="1" applyFont="1" applyFill="1" applyBorder="1" applyAlignment="1">
      <alignment horizontal="right" vertical="top" wrapText="1"/>
    </xf>
    <xf numFmtId="3" fontId="63" fillId="32" borderId="0" xfId="0" applyNumberFormat="1" applyFont="1" applyFill="1" applyAlignment="1">
      <alignment vertical="top" wrapText="1"/>
    </xf>
    <xf numFmtId="4" fontId="64" fillId="32" borderId="23" xfId="43" applyNumberFormat="1" applyFont="1" applyFill="1" applyBorder="1" applyAlignment="1">
      <alignment horizontal="right" vertical="top" wrapText="1"/>
    </xf>
    <xf numFmtId="4" fontId="63" fillId="32" borderId="23" xfId="0" applyNumberFormat="1" applyFont="1" applyFill="1" applyBorder="1" applyAlignment="1">
      <alignment vertical="top" wrapText="1"/>
    </xf>
    <xf numFmtId="40" fontId="65" fillId="32" borderId="0" xfId="43" applyNumberFormat="1" applyFont="1" applyFill="1" applyBorder="1" applyAlignment="1">
      <alignment horizontal="right" vertical="top" wrapText="1"/>
    </xf>
    <xf numFmtId="0" fontId="63" fillId="32" borderId="0" xfId="0" applyFont="1" applyFill="1" applyAlignment="1">
      <alignment vertical="top" wrapText="1"/>
    </xf>
    <xf numFmtId="40" fontId="65" fillId="32" borderId="0" xfId="0" quotePrefix="1" applyNumberFormat="1" applyFont="1" applyFill="1" applyAlignment="1">
      <alignment horizontal="left" vertical="top" wrapText="1"/>
    </xf>
    <xf numFmtId="0" fontId="65" fillId="32" borderId="0" xfId="0" applyFont="1" applyFill="1" applyAlignment="1">
      <alignment horizontal="left" vertical="top" wrapText="1"/>
    </xf>
    <xf numFmtId="0" fontId="65" fillId="32" borderId="26" xfId="0" applyFont="1" applyFill="1" applyBorder="1" applyAlignment="1">
      <alignment horizontal="left" vertical="top" wrapText="1"/>
    </xf>
    <xf numFmtId="0" fontId="75" fillId="33" borderId="18" xfId="0" applyFont="1" applyFill="1" applyBorder="1" applyAlignment="1">
      <alignment horizontal="left" vertical="center" wrapText="1"/>
    </xf>
    <xf numFmtId="0" fontId="63" fillId="33" borderId="18" xfId="0" applyFont="1" applyFill="1" applyBorder="1" applyAlignment="1">
      <alignment horizontal="left" vertical="center" wrapText="1"/>
    </xf>
    <xf numFmtId="0" fontId="63" fillId="33" borderId="29" xfId="0" applyFont="1" applyFill="1" applyBorder="1" applyAlignment="1">
      <alignment horizontal="left" vertical="center" wrapText="1"/>
    </xf>
    <xf numFmtId="0" fontId="63" fillId="33" borderId="0" xfId="0" applyFont="1" applyFill="1" applyAlignment="1">
      <alignment horizontal="left" vertical="center" wrapText="1"/>
    </xf>
    <xf numFmtId="0" fontId="63" fillId="33" borderId="26" xfId="0" applyFont="1" applyFill="1" applyBorder="1" applyAlignment="1">
      <alignment horizontal="left" vertical="center" wrapText="1"/>
    </xf>
    <xf numFmtId="0" fontId="60" fillId="32" borderId="0" xfId="0" applyFont="1" applyFill="1" applyAlignment="1">
      <alignment vertical="top" wrapText="1"/>
    </xf>
    <xf numFmtId="4" fontId="64" fillId="33" borderId="0" xfId="43" applyNumberFormat="1" applyFont="1" applyFill="1" applyBorder="1" applyAlignment="1">
      <alignment horizontal="right" vertical="top" wrapText="1"/>
    </xf>
    <xf numFmtId="4" fontId="63" fillId="33" borderId="0" xfId="0" applyNumberFormat="1" applyFont="1" applyFill="1" applyAlignment="1">
      <alignment vertical="top" wrapText="1"/>
    </xf>
    <xf numFmtId="0" fontId="75" fillId="33" borderId="0" xfId="0" applyFont="1" applyFill="1" applyAlignment="1">
      <alignment vertical="top" wrapText="1"/>
    </xf>
    <xf numFmtId="0" fontId="1" fillId="33" borderId="0" xfId="0" applyFont="1" applyFill="1" applyAlignment="1">
      <alignment vertical="top" wrapText="1"/>
    </xf>
    <xf numFmtId="0" fontId="64" fillId="32" borderId="18" xfId="0" applyFont="1" applyFill="1" applyBorder="1" applyAlignment="1">
      <alignment horizontal="center" vertical="top" wrapText="1"/>
    </xf>
    <xf numFmtId="0" fontId="0" fillId="32" borderId="18" xfId="0" applyFill="1" applyBorder="1" applyAlignment="1">
      <alignment horizontal="center" vertical="top" wrapText="1"/>
    </xf>
    <xf numFmtId="0" fontId="68" fillId="0" borderId="0" xfId="0" applyFont="1" applyAlignment="1">
      <alignment horizontal="center" vertical="center" wrapText="1"/>
    </xf>
    <xf numFmtId="0" fontId="77" fillId="33" borderId="0" xfId="0" applyFont="1" applyFill="1" applyAlignment="1">
      <alignment vertical="top" wrapText="1"/>
    </xf>
    <xf numFmtId="0" fontId="61" fillId="33" borderId="0" xfId="0" applyFont="1" applyFill="1" applyAlignment="1">
      <alignment vertical="top" wrapText="1"/>
    </xf>
    <xf numFmtId="0" fontId="51" fillId="0" borderId="0" xfId="0" applyFont="1" applyAlignment="1">
      <alignment horizontal="center" vertical="center"/>
    </xf>
  </cellXfs>
  <cellStyles count="136">
    <cellStyle name="_05_Artemis_95% Estimate_Rev 00_Issued 12_08_05" xfId="1" xr:uid="{00000000-0005-0000-0000-000000000000}"/>
    <cellStyle name="_05_Artemis_95% Estimate_Rev 00_Issued 12_08_05_FM" xfId="2" xr:uid="{00000000-0005-0000-0000-000001000000}"/>
    <cellStyle name="_60% Programming Estimate_SS1_Rev 3" xfId="3" xr:uid="{00000000-0005-0000-0000-000002000000}"/>
    <cellStyle name="_Book2" xfId="4" xr:uid="{00000000-0005-0000-0000-000003000000}"/>
    <cellStyle name="_Deisgn Gap Vaulations_FM_Rev 0" xfId="5" xr:uid="{00000000-0005-0000-0000-000004000000}"/>
    <cellStyle name="20% - 着色 1" xfId="6" builtinId="30" customBuiltin="1"/>
    <cellStyle name="20% - 着色 2" xfId="7" builtinId="34" customBuiltin="1"/>
    <cellStyle name="20% - 着色 3" xfId="8" builtinId="38" customBuiltin="1"/>
    <cellStyle name="20% - 着色 4" xfId="9" builtinId="42" customBuiltin="1"/>
    <cellStyle name="20% - 着色 5" xfId="10" builtinId="46" customBuiltin="1"/>
    <cellStyle name="20% - 着色 6" xfId="11" builtinId="50" customBuiltin="1"/>
    <cellStyle name="40% - 着色 1" xfId="12" builtinId="31" customBuiltin="1"/>
    <cellStyle name="40% - 着色 2" xfId="13" builtinId="35" customBuiltin="1"/>
    <cellStyle name="40% - 着色 3" xfId="14" builtinId="39" customBuiltin="1"/>
    <cellStyle name="40% - 着色 4" xfId="15" builtinId="43" customBuiltin="1"/>
    <cellStyle name="40% - 着色 5" xfId="16" builtinId="47" customBuiltin="1"/>
    <cellStyle name="40% - 着色 6" xfId="17" builtinId="51" customBuiltin="1"/>
    <cellStyle name="60% - 着色 1" xfId="18" builtinId="32" customBuiltin="1"/>
    <cellStyle name="60% - 着色 2" xfId="19" builtinId="36" customBuiltin="1"/>
    <cellStyle name="60% - 着色 3" xfId="20" builtinId="40" customBuiltin="1"/>
    <cellStyle name="60% - 着色 4" xfId="21" builtinId="44" customBuiltin="1"/>
    <cellStyle name="60% - 着色 5" xfId="22" builtinId="48" customBuiltin="1"/>
    <cellStyle name="60% - 着色 6" xfId="23" builtinId="52" customBuiltin="1"/>
    <cellStyle name="active" xfId="30" xr:uid="{00000000-0005-0000-0000-000017000000}"/>
    <cellStyle name="args.style" xfId="31" xr:uid="{00000000-0005-0000-0000-000018000000}"/>
    <cellStyle name="ÄÞ¸¶ [0]_!!!GO" xfId="32" xr:uid="{00000000-0005-0000-0000-000019000000}"/>
    <cellStyle name="ÄÞ¸¶_!!!GO" xfId="33" xr:uid="{00000000-0005-0000-0000-00001A000000}"/>
    <cellStyle name="Ç¥ÁØ_!!!GO" xfId="35" xr:uid="{00000000-0005-0000-0000-00001B000000}"/>
    <cellStyle name="Calc Currency (0)" xfId="36" xr:uid="{00000000-0005-0000-0000-00001C000000}"/>
    <cellStyle name="Calc Percent (0)" xfId="37" xr:uid="{00000000-0005-0000-0000-00001D000000}"/>
    <cellStyle name="Calc Percent (0) 2" xfId="126" xr:uid="{00000000-0005-0000-0000-00001E000000}"/>
    <cellStyle name="Calc Percent (1)" xfId="38" xr:uid="{00000000-0005-0000-0000-00001F000000}"/>
    <cellStyle name="category" xfId="40" xr:uid="{00000000-0005-0000-0000-000020000000}"/>
    <cellStyle name="collection" xfId="42" xr:uid="{00000000-0005-0000-0000-000021000000}"/>
    <cellStyle name="collection 2" xfId="127" xr:uid="{00000000-0005-0000-0000-000022000000}"/>
    <cellStyle name="Comma 2" xfId="44" xr:uid="{00000000-0005-0000-0000-000023000000}"/>
    <cellStyle name="Comma 2 2" xfId="128" xr:uid="{00000000-0005-0000-0000-000024000000}"/>
    <cellStyle name="Comma0" xfId="45" xr:uid="{00000000-0005-0000-0000-000025000000}"/>
    <cellStyle name="Copied" xfId="46" xr:uid="{00000000-0005-0000-0000-000026000000}"/>
    <cellStyle name="Currency 2" xfId="48" xr:uid="{00000000-0005-0000-0000-000027000000}"/>
    <cellStyle name="Currency 2 2" xfId="129" xr:uid="{00000000-0005-0000-0000-000028000000}"/>
    <cellStyle name="Currency0" xfId="49" xr:uid="{00000000-0005-0000-0000-000029000000}"/>
    <cellStyle name="Currency0 2" xfId="130" xr:uid="{00000000-0005-0000-0000-00002A000000}"/>
    <cellStyle name="custom" xfId="50" xr:uid="{00000000-0005-0000-0000-00002B000000}"/>
    <cellStyle name="Date" xfId="51" xr:uid="{00000000-0005-0000-0000-00002C000000}"/>
    <cellStyle name="Dezimal [0]_Compiling Utility Macros" xfId="52" xr:uid="{00000000-0005-0000-0000-00002D000000}"/>
    <cellStyle name="Dezimal_Compiling Utility Macros" xfId="53" xr:uid="{00000000-0005-0000-0000-00002E000000}"/>
    <cellStyle name="Enter Currency (0)" xfId="54" xr:uid="{00000000-0005-0000-0000-00002F000000}"/>
    <cellStyle name="Entered" xfId="55" xr:uid="{00000000-0005-0000-0000-000030000000}"/>
    <cellStyle name="Fixed" xfId="57" xr:uid="{00000000-0005-0000-0000-000031000000}"/>
    <cellStyle name="Forecast" xfId="58" xr:uid="{00000000-0005-0000-0000-000032000000}"/>
    <cellStyle name="Grey" xfId="60" xr:uid="{00000000-0005-0000-0000-000033000000}"/>
    <cellStyle name="HEADER" xfId="61" xr:uid="{00000000-0005-0000-0000-000034000000}"/>
    <cellStyle name="Header1" xfId="62" xr:uid="{00000000-0005-0000-0000-000035000000}"/>
    <cellStyle name="Header2" xfId="63" xr:uid="{00000000-0005-0000-0000-000036000000}"/>
    <cellStyle name="HEADINGS" xfId="68" xr:uid="{00000000-0005-0000-0000-000037000000}"/>
    <cellStyle name="HEADINGSTOP" xfId="69" xr:uid="{00000000-0005-0000-0000-000038000000}"/>
    <cellStyle name="Input [yellow]" xfId="71" xr:uid="{00000000-0005-0000-0000-000039000000}"/>
    <cellStyle name="Input No" xfId="72" xr:uid="{00000000-0005-0000-0000-00003A000000}"/>
    <cellStyle name="Link Currency (0)" xfId="73" xr:uid="{00000000-0005-0000-0000-00003B000000}"/>
    <cellStyle name="Milliers [0]_!!!GO" xfId="75" xr:uid="{00000000-0005-0000-0000-00003C000000}"/>
    <cellStyle name="Milliers_!!!GO" xfId="76" xr:uid="{00000000-0005-0000-0000-00003D000000}"/>
    <cellStyle name="Model" xfId="77" xr:uid="{00000000-0005-0000-0000-00003E000000}"/>
    <cellStyle name="Monétaire [0]_!!!GO" xfId="78" xr:uid="{00000000-0005-0000-0000-00003F000000}"/>
    <cellStyle name="Monétaire_!!!GO" xfId="79" xr:uid="{00000000-0005-0000-0000-000040000000}"/>
    <cellStyle name="Needs Work" xfId="80" xr:uid="{00000000-0005-0000-0000-000041000000}"/>
    <cellStyle name="New Times Roman" xfId="82" xr:uid="{00000000-0005-0000-0000-000042000000}"/>
    <cellStyle name="no dec" xfId="83" xr:uid="{00000000-0005-0000-0000-000043000000}"/>
    <cellStyle name="Normal - Style1" xfId="84" xr:uid="{00000000-0005-0000-0000-000044000000}"/>
    <cellStyle name="Normal 2" xfId="85" xr:uid="{00000000-0005-0000-0000-000045000000}"/>
    <cellStyle name="Normal 2 2" xfId="135" xr:uid="{00000000-0005-0000-0000-000046000000}"/>
    <cellStyle name="Normal 3" xfId="86" xr:uid="{00000000-0005-0000-0000-000047000000}"/>
    <cellStyle name="Normal 3 2" xfId="131" xr:uid="{00000000-0005-0000-0000-000048000000}"/>
    <cellStyle name="Normal_Interim Valuation 06(R1)" xfId="87" xr:uid="{00000000-0005-0000-0000-000049000000}"/>
    <cellStyle name="Œ…‹æØ‚è [0.00]_laroux" xfId="89" xr:uid="{00000000-0005-0000-0000-00004A000000}"/>
    <cellStyle name="Œ…‹æØ‚è_laroux" xfId="90" xr:uid="{00000000-0005-0000-0000-00004B000000}"/>
    <cellStyle name="per.style" xfId="92" xr:uid="{00000000-0005-0000-0000-00004C000000}"/>
    <cellStyle name="Percent [2]" xfId="93" xr:uid="{00000000-0005-0000-0000-00004D000000}"/>
    <cellStyle name="Percent [2] 2" xfId="132" xr:uid="{00000000-0005-0000-0000-00004E000000}"/>
    <cellStyle name="Percent 2" xfId="94" xr:uid="{00000000-0005-0000-0000-00004F000000}"/>
    <cellStyle name="Percent 2 2" xfId="133" xr:uid="{00000000-0005-0000-0000-000050000000}"/>
    <cellStyle name="PrePop Currency (0)" xfId="95" xr:uid="{00000000-0005-0000-0000-000051000000}"/>
    <cellStyle name="Product" xfId="96" xr:uid="{00000000-0005-0000-0000-000052000000}"/>
    <cellStyle name="PSChar" xfId="97" xr:uid="{00000000-0005-0000-0000-000053000000}"/>
    <cellStyle name="PSDate" xfId="98" xr:uid="{00000000-0005-0000-0000-000054000000}"/>
    <cellStyle name="PSDec" xfId="99" xr:uid="{00000000-0005-0000-0000-000055000000}"/>
    <cellStyle name="PSHeading" xfId="100" xr:uid="{00000000-0005-0000-0000-000056000000}"/>
    <cellStyle name="PSInt" xfId="101" xr:uid="{00000000-0005-0000-0000-000057000000}"/>
    <cellStyle name="PSSpacer" xfId="102" xr:uid="{00000000-0005-0000-0000-000058000000}"/>
    <cellStyle name="regstoresfromspecstores" xfId="103" xr:uid="{00000000-0005-0000-0000-000059000000}"/>
    <cellStyle name="RevList" xfId="104" xr:uid="{00000000-0005-0000-0000-00005A000000}"/>
    <cellStyle name="RevList 2" xfId="134" xr:uid="{00000000-0005-0000-0000-00005B000000}"/>
    <cellStyle name="shade" xfId="105" xr:uid="{00000000-0005-0000-0000-00005C000000}"/>
    <cellStyle name="SHADEDSTORES" xfId="106" xr:uid="{00000000-0005-0000-0000-00005D000000}"/>
    <cellStyle name="Shared" xfId="107" xr:uid="{00000000-0005-0000-0000-00005E000000}"/>
    <cellStyle name="specstores" xfId="108" xr:uid="{00000000-0005-0000-0000-00005F000000}"/>
    <cellStyle name="STANDARD" xfId="109" xr:uid="{00000000-0005-0000-0000-000060000000}"/>
    <cellStyle name="Style 1" xfId="110" xr:uid="{00000000-0005-0000-0000-000061000000}"/>
    <cellStyle name="subhead" xfId="111" xr:uid="{00000000-0005-0000-0000-000062000000}"/>
    <cellStyle name="Subtotal" xfId="112" xr:uid="{00000000-0005-0000-0000-000063000000}"/>
    <cellStyle name="Text Indent A" xfId="113" xr:uid="{00000000-0005-0000-0000-000064000000}"/>
    <cellStyle name="Text Indent B" xfId="114" xr:uid="{00000000-0005-0000-0000-000065000000}"/>
    <cellStyle name="Währung [0]_Compiling Utility Macros" xfId="117" xr:uid="{00000000-0005-0000-0000-000066000000}"/>
    <cellStyle name="Währung_Compiling Utility Macros" xfId="118" xr:uid="{00000000-0005-0000-0000-000067000000}"/>
    <cellStyle name="표준 2" xfId="125" xr:uid="{00000000-0005-0000-0000-000087000000}"/>
    <cellStyle name="千位分隔" xfId="43" builtinId="3"/>
    <cellStyle name="好" xfId="59" builtinId="26" customBuiltin="1"/>
    <cellStyle name="差" xfId="34" builtinId="27" customBuiltin="1"/>
    <cellStyle name="常规" xfId="0" builtinId="0"/>
    <cellStyle name="标题" xfId="115" builtinId="15" customBuiltin="1"/>
    <cellStyle name="标题 1" xfId="64" builtinId="16" customBuiltin="1"/>
    <cellStyle name="标题 2" xfId="65" builtinId="17" customBuiltin="1"/>
    <cellStyle name="标题 3" xfId="66" builtinId="18" customBuiltin="1"/>
    <cellStyle name="标题 4" xfId="67" builtinId="19" customBuiltin="1"/>
    <cellStyle name="桁区切り [0.00]_laroux" xfId="120" xr:uid="{00000000-0005-0000-0000-000071000000}"/>
    <cellStyle name="桁区切り_laroux" xfId="121" xr:uid="{00000000-0005-0000-0000-000072000000}"/>
    <cellStyle name="检查单元格" xfId="41" builtinId="23" customBuiltin="1"/>
    <cellStyle name="標準_1-97" xfId="122" xr:uid="{00000000-0005-0000-0000-00006D000000}"/>
    <cellStyle name="汇总" xfId="116" builtinId="25" customBuiltin="1"/>
    <cellStyle name="注释" xfId="88" builtinId="10" customBuiltin="1"/>
    <cellStyle name="着色 1" xfId="24" builtinId="29" customBuiltin="1"/>
    <cellStyle name="着色 2" xfId="25" builtinId="33" customBuiltin="1"/>
    <cellStyle name="着色 3" xfId="26" builtinId="37" customBuiltin="1"/>
    <cellStyle name="着色 4" xfId="27" builtinId="41" customBuiltin="1"/>
    <cellStyle name="着色 5" xfId="28" builtinId="45" customBuiltin="1"/>
    <cellStyle name="着色 6" xfId="29" builtinId="49" customBuiltin="1"/>
    <cellStyle name="解释性文本" xfId="56" builtinId="53" customBuiltin="1"/>
    <cellStyle name="警告文本" xfId="119" builtinId="11" customBuiltin="1"/>
    <cellStyle name="计算" xfId="39" builtinId="22" customBuiltin="1"/>
    <cellStyle name="货币" xfId="47" builtinId="4"/>
    <cellStyle name="输入" xfId="70" builtinId="20" customBuiltin="1"/>
    <cellStyle name="输出" xfId="91" builtinId="21" customBuiltin="1"/>
    <cellStyle name="适中" xfId="81" builtinId="28" customBuiltin="1"/>
    <cellStyle name="通貨 [0.00]_laroux" xfId="123" xr:uid="{00000000-0005-0000-0000-000084000000}"/>
    <cellStyle name="通貨_laroux" xfId="124" xr:uid="{00000000-0005-0000-0000-000085000000}"/>
    <cellStyle name="链接单元格" xfId="74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defaultColWidth="8.85546875" defaultRowHeight="12"/>
  <cols>
    <col min="1" max="1" width="0.85546875" style="1" customWidth="1"/>
    <col min="2" max="2" width="33.42578125" style="1" customWidth="1"/>
    <col min="3" max="3" width="21.42578125" style="1" customWidth="1"/>
    <col min="4" max="4" width="11.7109375" style="1" customWidth="1"/>
    <col min="5" max="6" width="0.85546875" style="1" customWidth="1"/>
    <col min="7" max="7" width="5.7109375" style="1" customWidth="1"/>
    <col min="8" max="8" width="5.85546875" style="1" customWidth="1"/>
    <col min="9" max="10" width="0.85546875" style="1" customWidth="1"/>
    <col min="11" max="11" width="2.7109375" style="1" customWidth="1"/>
    <col min="12" max="12" width="5.7109375" style="1" customWidth="1"/>
    <col min="13" max="13" width="7.85546875" style="1" customWidth="1"/>
    <col min="14" max="15" width="0.85546875" style="1" customWidth="1"/>
    <col min="16" max="16" width="1.7109375" style="1" customWidth="1"/>
    <col min="17" max="17" width="33.28515625" style="4" customWidth="1"/>
    <col min="18" max="19" width="3" style="1" customWidth="1"/>
    <col min="20" max="20" width="10" style="1" customWidth="1"/>
    <col min="21" max="21" width="9.85546875" style="1" bestFit="1" customWidth="1"/>
    <col min="22" max="22" width="8.85546875" style="1" customWidth="1"/>
    <col min="23" max="16384" width="8.85546875" style="1"/>
  </cols>
  <sheetData>
    <row r="1" spans="1:257" s="10" customFormat="1" ht="50.1" customHeight="1">
      <c r="A1" s="35"/>
      <c r="B1" s="36" t="s">
        <v>0</v>
      </c>
      <c r="C1" s="37"/>
      <c r="D1" s="37"/>
      <c r="E1" s="38"/>
      <c r="F1" s="38"/>
      <c r="G1" s="38"/>
      <c r="H1" s="37"/>
      <c r="I1" s="39"/>
      <c r="J1" s="39"/>
      <c r="K1" s="39"/>
      <c r="L1" s="39"/>
      <c r="M1" s="39"/>
      <c r="N1" s="39"/>
      <c r="O1" s="39"/>
      <c r="P1" s="39"/>
      <c r="Q1" s="40"/>
      <c r="R1" s="41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</row>
    <row r="2" spans="1:257" ht="15" customHeight="1">
      <c r="A2" s="42"/>
      <c r="B2" s="32" t="s">
        <v>1</v>
      </c>
      <c r="C2" s="134" t="s">
        <v>2</v>
      </c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43"/>
    </row>
    <row r="3" spans="1:257" ht="15" customHeight="1">
      <c r="A3" s="42"/>
      <c r="B3" s="32" t="s">
        <v>3</v>
      </c>
      <c r="C3" s="135" t="s">
        <v>4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43"/>
    </row>
    <row r="4" spans="1:257" ht="15" customHeight="1">
      <c r="A4" s="42"/>
      <c r="B4" s="34" t="s">
        <v>5</v>
      </c>
      <c r="C4" s="159" t="s">
        <v>6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43"/>
    </row>
    <row r="5" spans="1:257" ht="15" customHeight="1">
      <c r="A5" s="42"/>
      <c r="B5" s="34" t="s">
        <v>7</v>
      </c>
      <c r="C5" s="132" t="s">
        <v>8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43"/>
    </row>
    <row r="6" spans="1:257" ht="15" customHeight="1">
      <c r="A6" s="42"/>
      <c r="B6" s="44" t="s">
        <v>9</v>
      </c>
      <c r="C6" s="136" t="s">
        <v>10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43"/>
    </row>
    <row r="7" spans="1:257" ht="15" customHeight="1">
      <c r="A7" s="42"/>
      <c r="B7" s="32" t="s">
        <v>11</v>
      </c>
      <c r="C7" s="135" t="s">
        <v>12</v>
      </c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43"/>
    </row>
    <row r="8" spans="1:257" ht="17.100000000000001">
      <c r="A8" s="42"/>
      <c r="B8" s="32" t="s">
        <v>13</v>
      </c>
      <c r="C8" s="137" t="s">
        <v>14</v>
      </c>
      <c r="D8" s="138" t="s">
        <v>15</v>
      </c>
      <c r="E8" s="138"/>
      <c r="F8" s="138"/>
      <c r="G8" s="138"/>
      <c r="H8" s="138"/>
      <c r="I8" s="138"/>
      <c r="J8" s="134"/>
      <c r="K8" s="134"/>
      <c r="L8" s="134"/>
      <c r="M8" s="139"/>
      <c r="N8" s="134"/>
      <c r="O8" s="134"/>
      <c r="P8" s="134"/>
      <c r="Q8" s="134"/>
      <c r="R8" s="43"/>
    </row>
    <row r="9" spans="1:257" ht="17.100000000000001">
      <c r="A9" s="45"/>
      <c r="B9" s="72" t="s">
        <v>16</v>
      </c>
      <c r="C9" s="140" t="s">
        <v>14</v>
      </c>
      <c r="D9" s="141" t="s">
        <v>15</v>
      </c>
      <c r="E9" s="141"/>
      <c r="F9" s="141"/>
      <c r="G9" s="141"/>
      <c r="H9" s="141"/>
      <c r="I9" s="141"/>
      <c r="J9" s="142"/>
      <c r="K9" s="142"/>
      <c r="L9" s="142"/>
      <c r="M9" s="142"/>
      <c r="N9" s="142"/>
      <c r="O9" s="142"/>
      <c r="P9" s="142"/>
      <c r="Q9" s="142"/>
      <c r="R9" s="46"/>
    </row>
    <row r="10" spans="1:257" ht="6" customHeight="1">
      <c r="A10" s="47"/>
      <c r="B10" s="44"/>
      <c r="C10" s="48"/>
      <c r="D10" s="48"/>
      <c r="E10" s="48"/>
      <c r="F10" s="48"/>
      <c r="G10" s="48"/>
      <c r="H10" s="48"/>
      <c r="I10" s="48"/>
      <c r="J10" s="49"/>
      <c r="K10" s="48"/>
      <c r="L10" s="48"/>
      <c r="M10" s="48"/>
      <c r="N10" s="48"/>
      <c r="O10" s="48"/>
      <c r="P10" s="48"/>
      <c r="Q10" s="48"/>
      <c r="R10" s="43"/>
    </row>
    <row r="11" spans="1:257" ht="15" customHeight="1">
      <c r="A11" s="47"/>
      <c r="B11" s="34" t="s">
        <v>5</v>
      </c>
      <c r="C11" s="131" t="s">
        <v>17</v>
      </c>
      <c r="D11" s="33"/>
      <c r="E11" s="33"/>
      <c r="F11" s="33"/>
      <c r="G11" s="33"/>
      <c r="H11" s="33"/>
      <c r="I11" s="50"/>
      <c r="J11" s="51"/>
      <c r="K11" s="175" t="s">
        <v>18</v>
      </c>
      <c r="L11" s="175"/>
      <c r="M11" s="175"/>
      <c r="N11" s="175"/>
      <c r="O11" s="175"/>
      <c r="P11" s="175"/>
      <c r="Q11" s="175"/>
      <c r="R11" s="43"/>
    </row>
    <row r="12" spans="1:257" ht="15" customHeight="1">
      <c r="A12" s="47"/>
      <c r="B12" s="34" t="s">
        <v>19</v>
      </c>
      <c r="C12" s="132" t="s">
        <v>20</v>
      </c>
      <c r="D12" s="33"/>
      <c r="E12" s="33"/>
      <c r="F12" s="33"/>
      <c r="G12" s="33"/>
      <c r="H12" s="33"/>
      <c r="I12" s="50"/>
      <c r="J12" s="52"/>
      <c r="K12" s="178" t="s">
        <v>21</v>
      </c>
      <c r="L12" s="179"/>
      <c r="M12" s="179"/>
      <c r="N12" s="179"/>
      <c r="O12" s="179"/>
      <c r="P12" s="179"/>
      <c r="Q12" s="179"/>
      <c r="R12" s="43"/>
    </row>
    <row r="13" spans="1:257" ht="14.25" customHeight="1">
      <c r="A13" s="47"/>
      <c r="B13" s="34" t="s">
        <v>22</v>
      </c>
      <c r="C13" s="133" t="s">
        <v>23</v>
      </c>
      <c r="D13" s="53"/>
      <c r="E13" s="53"/>
      <c r="F13" s="53"/>
      <c r="G13" s="53"/>
      <c r="H13" s="33"/>
      <c r="I13" s="50"/>
      <c r="J13" s="52"/>
      <c r="K13" s="179"/>
      <c r="L13" s="179"/>
      <c r="M13" s="179"/>
      <c r="N13" s="179"/>
      <c r="O13" s="179"/>
      <c r="P13" s="179"/>
      <c r="Q13" s="179"/>
      <c r="R13" s="43"/>
    </row>
    <row r="14" spans="1:257" ht="17.100000000000001">
      <c r="A14" s="47"/>
      <c r="B14" s="34" t="s">
        <v>24</v>
      </c>
      <c r="C14" s="132" t="s">
        <v>25</v>
      </c>
      <c r="D14" s="33"/>
      <c r="E14" s="33"/>
      <c r="F14" s="33"/>
      <c r="G14" s="33"/>
      <c r="H14" s="33"/>
      <c r="I14" s="50"/>
      <c r="J14" s="52"/>
      <c r="K14" s="179"/>
      <c r="L14" s="179"/>
      <c r="M14" s="179"/>
      <c r="N14" s="179"/>
      <c r="O14" s="179"/>
      <c r="P14" s="179"/>
      <c r="Q14" s="179"/>
      <c r="R14" s="43"/>
    </row>
    <row r="15" spans="1:257" ht="12" customHeight="1">
      <c r="A15" s="47"/>
      <c r="B15" s="44"/>
      <c r="C15" s="33"/>
      <c r="D15" s="33"/>
      <c r="E15" s="33"/>
      <c r="F15" s="33"/>
      <c r="G15" s="33"/>
      <c r="H15" s="33"/>
      <c r="I15" s="50"/>
      <c r="J15" s="52"/>
      <c r="K15" s="179"/>
      <c r="L15" s="179"/>
      <c r="M15" s="179"/>
      <c r="N15" s="179"/>
      <c r="O15" s="179"/>
      <c r="P15" s="179"/>
      <c r="Q15" s="179"/>
      <c r="R15" s="43"/>
    </row>
    <row r="16" spans="1:257" ht="6" customHeight="1">
      <c r="A16" s="47"/>
      <c r="B16" s="54"/>
      <c r="C16" s="54"/>
      <c r="D16" s="54"/>
      <c r="E16" s="54"/>
      <c r="F16" s="54"/>
      <c r="G16" s="54"/>
      <c r="H16" s="54"/>
      <c r="I16" s="55"/>
      <c r="J16" s="56"/>
      <c r="K16" s="54"/>
      <c r="L16" s="54"/>
      <c r="M16" s="54"/>
      <c r="N16" s="54"/>
      <c r="O16" s="54"/>
      <c r="P16" s="54"/>
      <c r="Q16" s="54"/>
      <c r="R16" s="43"/>
    </row>
    <row r="17" spans="1:18" ht="6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  <c r="O17" s="60"/>
      <c r="P17" s="58"/>
      <c r="Q17" s="61"/>
      <c r="R17" s="62"/>
    </row>
    <row r="18" spans="1:18" ht="13.5" customHeight="1">
      <c r="A18" s="47"/>
      <c r="B18" s="44" t="s">
        <v>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63"/>
      <c r="O18" s="64"/>
      <c r="P18" s="44"/>
      <c r="Q18" s="65" t="s">
        <v>26</v>
      </c>
      <c r="R18" s="43"/>
    </row>
    <row r="19" spans="1:18" ht="23.25" customHeight="1">
      <c r="A19" s="47"/>
      <c r="B19" s="32">
        <v>212</v>
      </c>
      <c r="C19" s="44" t="s">
        <v>27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63"/>
      <c r="O19" s="64"/>
      <c r="P19" s="66"/>
      <c r="Q19" s="67">
        <v>1</v>
      </c>
      <c r="R19" s="43"/>
    </row>
    <row r="20" spans="1:18" ht="14.1">
      <c r="A20" s="47"/>
      <c r="B20" s="3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63"/>
      <c r="O20" s="64"/>
      <c r="P20" s="32"/>
      <c r="Q20" s="68"/>
      <c r="R20" s="43"/>
    </row>
    <row r="21" spans="1:18" ht="14.1">
      <c r="A21" s="47"/>
      <c r="B21" s="44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63"/>
      <c r="O21" s="69"/>
      <c r="P21" s="70"/>
      <c r="Q21" s="71"/>
      <c r="R21" s="46"/>
    </row>
    <row r="22" spans="1:18" ht="13.5" customHeight="1">
      <c r="A22" s="47"/>
      <c r="B22" s="170" t="s">
        <v>28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2"/>
      <c r="O22" s="64"/>
      <c r="P22" s="180" t="s">
        <v>29</v>
      </c>
      <c r="Q22" s="181"/>
      <c r="R22" s="43"/>
    </row>
    <row r="23" spans="1:18" ht="12" customHeight="1">
      <c r="A23" s="47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4"/>
      <c r="O23" s="64"/>
      <c r="P23" s="182">
        <v>1</v>
      </c>
      <c r="Q23" s="182"/>
      <c r="R23" s="43"/>
    </row>
    <row r="24" spans="1:18" ht="3.75" customHeight="1">
      <c r="A24" s="47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4"/>
      <c r="O24" s="64"/>
      <c r="P24" s="182"/>
      <c r="Q24" s="182"/>
      <c r="R24" s="43"/>
    </row>
    <row r="25" spans="1:18" ht="26.25" customHeight="1">
      <c r="A25" s="47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4"/>
      <c r="O25" s="64"/>
      <c r="P25" s="182"/>
      <c r="Q25" s="182"/>
      <c r="R25" s="43"/>
    </row>
    <row r="26" spans="1:18" ht="318.95" customHeight="1">
      <c r="A26" s="45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3"/>
      <c r="O26" s="64"/>
      <c r="P26" s="44"/>
      <c r="Q26" s="68"/>
      <c r="R26" s="43"/>
    </row>
    <row r="27" spans="1:18" ht="6" customHeight="1">
      <c r="A27" s="57"/>
      <c r="B27" s="58"/>
      <c r="C27" s="58"/>
      <c r="D27" s="74"/>
      <c r="E27" s="74"/>
      <c r="F27" s="74"/>
      <c r="G27" s="74"/>
      <c r="H27" s="58"/>
      <c r="I27" s="58"/>
      <c r="J27" s="58"/>
      <c r="K27" s="58"/>
      <c r="L27" s="58"/>
      <c r="M27" s="58"/>
      <c r="N27" s="59"/>
      <c r="O27" s="60"/>
      <c r="P27" s="58"/>
      <c r="Q27" s="61"/>
      <c r="R27" s="62"/>
    </row>
    <row r="28" spans="1:18" ht="6" customHeight="1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9"/>
      <c r="O28" s="60"/>
      <c r="P28" s="58"/>
      <c r="Q28" s="61"/>
      <c r="R28" s="62"/>
    </row>
    <row r="29" spans="1:18" ht="12.75" customHeight="1">
      <c r="A29" s="47"/>
      <c r="B29" s="32" t="s">
        <v>30</v>
      </c>
      <c r="C29" s="44"/>
      <c r="D29" s="44"/>
      <c r="E29" s="44"/>
      <c r="F29" s="44"/>
      <c r="G29" s="75"/>
      <c r="H29" s="75" t="s">
        <v>31</v>
      </c>
      <c r="I29" s="176" t="str">
        <f>C9</f>
        <v>PO金额</v>
      </c>
      <c r="J29" s="177"/>
      <c r="K29" s="177"/>
      <c r="L29" s="177"/>
      <c r="M29" s="177"/>
      <c r="N29" s="63"/>
      <c r="O29" s="64"/>
      <c r="P29" s="44"/>
      <c r="Q29" s="66"/>
      <c r="R29" s="43"/>
    </row>
    <row r="30" spans="1:18" ht="12.75" customHeight="1">
      <c r="A30" s="47"/>
      <c r="B30" s="44" t="s">
        <v>32</v>
      </c>
      <c r="C30" s="44"/>
      <c r="D30" s="44"/>
      <c r="E30" s="44"/>
      <c r="F30" s="44"/>
      <c r="G30" s="75"/>
      <c r="H30" s="75" t="s">
        <v>31</v>
      </c>
      <c r="I30" s="161">
        <v>0</v>
      </c>
      <c r="J30" s="162"/>
      <c r="K30" s="162"/>
      <c r="L30" s="162"/>
      <c r="M30" s="162"/>
      <c r="N30" s="63"/>
      <c r="O30" s="64"/>
      <c r="P30" s="44"/>
      <c r="Q30" s="66"/>
      <c r="R30" s="43"/>
    </row>
    <row r="31" spans="1:18" ht="12.75" customHeight="1">
      <c r="A31" s="47"/>
      <c r="B31" s="32" t="s">
        <v>33</v>
      </c>
      <c r="C31" s="44"/>
      <c r="D31" s="44"/>
      <c r="E31" s="44"/>
      <c r="F31" s="44"/>
      <c r="G31" s="75"/>
      <c r="H31" s="75" t="s">
        <v>31</v>
      </c>
      <c r="I31" s="163" t="e">
        <f>I29+I30</f>
        <v>#VALUE!</v>
      </c>
      <c r="J31" s="164"/>
      <c r="K31" s="164"/>
      <c r="L31" s="164"/>
      <c r="M31" s="164"/>
      <c r="N31" s="63"/>
      <c r="O31" s="64"/>
      <c r="P31" s="76"/>
      <c r="Q31" s="77"/>
      <c r="R31" s="43"/>
    </row>
    <row r="32" spans="1:18" ht="12.75" customHeight="1">
      <c r="A32" s="47"/>
      <c r="B32" s="44"/>
      <c r="C32" s="44"/>
      <c r="D32" s="44"/>
      <c r="E32" s="44"/>
      <c r="F32" s="44"/>
      <c r="G32" s="75"/>
      <c r="H32" s="75"/>
      <c r="I32" s="165"/>
      <c r="J32" s="166"/>
      <c r="K32" s="166"/>
      <c r="L32" s="166"/>
      <c r="M32" s="166"/>
      <c r="N32" s="63"/>
      <c r="O32" s="64"/>
      <c r="P32" s="44"/>
      <c r="Q32" s="68"/>
      <c r="R32" s="43"/>
    </row>
    <row r="33" spans="1:22" ht="12.75" customHeight="1">
      <c r="A33" s="47"/>
      <c r="B33" s="167"/>
      <c r="C33" s="167"/>
      <c r="D33" s="167"/>
      <c r="E33" s="44"/>
      <c r="F33" s="44"/>
      <c r="G33" s="44"/>
      <c r="H33" s="76"/>
      <c r="I33" s="78"/>
      <c r="J33" s="79"/>
      <c r="K33" s="79"/>
      <c r="L33" s="79"/>
      <c r="M33" s="79"/>
      <c r="N33" s="63"/>
      <c r="O33" s="64"/>
      <c r="P33" s="44"/>
      <c r="Q33" s="68"/>
      <c r="R33" s="43"/>
    </row>
    <row r="34" spans="1:22" ht="6" customHeight="1" thickBot="1">
      <c r="A34" s="80"/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3"/>
      <c r="O34" s="84"/>
      <c r="P34" s="85"/>
      <c r="Q34" s="85"/>
      <c r="R34" s="86"/>
    </row>
    <row r="35" spans="1:22" ht="6" customHeight="1" thickTop="1">
      <c r="A35" s="47"/>
      <c r="B35" s="32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63"/>
      <c r="O35" s="87"/>
      <c r="P35" s="88"/>
      <c r="Q35" s="88"/>
      <c r="R35" s="89"/>
    </row>
    <row r="36" spans="1:22" ht="15.95" customHeight="1">
      <c r="A36" s="47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63"/>
      <c r="O36" s="64"/>
      <c r="P36" s="76"/>
      <c r="Q36" s="90"/>
      <c r="R36" s="43"/>
      <c r="T36" s="11"/>
    </row>
    <row r="37" spans="1:22" ht="15.95" customHeight="1">
      <c r="A37" s="47"/>
      <c r="B37" s="183" t="s">
        <v>34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63"/>
      <c r="O37" s="64"/>
      <c r="P37" s="76"/>
      <c r="Q37" s="130" t="s">
        <v>35</v>
      </c>
      <c r="R37" s="43"/>
      <c r="T37" s="11"/>
    </row>
    <row r="38" spans="1:22" ht="15.95" customHeight="1">
      <c r="A38" s="47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63"/>
      <c r="O38" s="69"/>
      <c r="P38" s="91"/>
      <c r="Q38" s="129"/>
      <c r="R38" s="46"/>
      <c r="T38" s="11"/>
    </row>
    <row r="39" spans="1:22" s="3" customFormat="1" ht="15.95" customHeight="1">
      <c r="A39" s="92"/>
      <c r="B39" s="32" t="s">
        <v>36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93"/>
      <c r="O39" s="51"/>
      <c r="P39" s="76"/>
      <c r="Q39" s="126">
        <f>SUM(Q36:Q37)</f>
        <v>0</v>
      </c>
      <c r="R39" s="94"/>
      <c r="V39" s="5"/>
    </row>
    <row r="40" spans="1:22" s="3" customFormat="1" ht="15.95" customHeight="1">
      <c r="A40" s="9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93"/>
      <c r="O40" s="51"/>
      <c r="P40" s="76"/>
      <c r="Q40" s="95"/>
      <c r="R40" s="94"/>
      <c r="V40" s="5"/>
    </row>
    <row r="41" spans="1:22" ht="15.95" customHeight="1">
      <c r="A41" s="47"/>
      <c r="B41" s="168" t="s">
        <v>37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9"/>
      <c r="O41" s="64"/>
      <c r="P41" s="76"/>
      <c r="Q41" s="127">
        <v>0</v>
      </c>
      <c r="R41" s="43"/>
      <c r="T41" s="14"/>
    </row>
    <row r="42" spans="1:22" ht="19.5" customHeight="1">
      <c r="A42" s="47"/>
      <c r="B42" s="4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93"/>
      <c r="O42" s="97"/>
      <c r="P42" s="91"/>
      <c r="Q42" s="98"/>
      <c r="R42" s="99"/>
      <c r="T42" s="14"/>
      <c r="U42" s="6"/>
      <c r="V42" s="7"/>
    </row>
    <row r="43" spans="1:22" ht="6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9"/>
      <c r="O43" s="64"/>
      <c r="P43" s="68"/>
      <c r="Q43" s="96"/>
      <c r="R43" s="43"/>
      <c r="T43" s="14"/>
    </row>
    <row r="44" spans="1:22" ht="6" customHeight="1" thickBot="1">
      <c r="A44" s="47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63"/>
      <c r="O44" s="64"/>
      <c r="P44" s="68"/>
      <c r="Q44" s="96"/>
      <c r="R44" s="43"/>
      <c r="T44" s="14"/>
    </row>
    <row r="45" spans="1:22" ht="21.75" customHeight="1" thickTop="1" thickBot="1">
      <c r="A45" s="47"/>
      <c r="B45" s="146" t="s">
        <v>38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63"/>
      <c r="O45" s="64"/>
      <c r="P45" s="76"/>
      <c r="Q45" s="128">
        <f>Q39-Q41</f>
        <v>0</v>
      </c>
      <c r="R45" s="43"/>
      <c r="T45" s="14"/>
      <c r="V45" s="7"/>
    </row>
    <row r="46" spans="1:22" ht="15" thickTop="1">
      <c r="A46" s="47"/>
      <c r="B46" s="100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63"/>
      <c r="O46" s="64"/>
      <c r="P46" s="76"/>
      <c r="Q46" s="102"/>
      <c r="R46" s="43"/>
      <c r="V46" s="7"/>
    </row>
    <row r="47" spans="1:22" ht="14.1">
      <c r="A47" s="47"/>
      <c r="B47" s="32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63"/>
      <c r="O47" s="64"/>
      <c r="P47" s="76"/>
      <c r="Q47" s="102"/>
      <c r="R47" s="43"/>
      <c r="V47" s="7"/>
    </row>
    <row r="48" spans="1:22" ht="6" customHeight="1">
      <c r="A48" s="45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3"/>
      <c r="O48" s="69"/>
      <c r="P48" s="70"/>
      <c r="Q48" s="71"/>
      <c r="R48" s="46"/>
    </row>
    <row r="49" spans="1:206" ht="15" customHeight="1">
      <c r="A49" s="57"/>
      <c r="B49" s="103" t="s">
        <v>39</v>
      </c>
      <c r="C49" s="58"/>
      <c r="D49" s="58"/>
      <c r="E49" s="60"/>
      <c r="F49" s="58"/>
      <c r="G49" s="58"/>
      <c r="H49" s="58"/>
      <c r="I49" s="58"/>
      <c r="J49" s="58"/>
      <c r="K49" s="59"/>
      <c r="L49" s="58"/>
      <c r="M49" s="58"/>
      <c r="N49" s="58"/>
      <c r="O49" s="58"/>
      <c r="P49" s="58"/>
      <c r="Q49" s="61"/>
      <c r="R49" s="62"/>
    </row>
    <row r="50" spans="1:206" ht="15" customHeight="1">
      <c r="A50" s="47"/>
      <c r="B50" s="148"/>
      <c r="C50" s="148"/>
      <c r="D50" s="149"/>
      <c r="E50" s="150" t="s">
        <v>40</v>
      </c>
      <c r="F50" s="151"/>
      <c r="G50" s="151"/>
      <c r="H50" s="151"/>
      <c r="I50" s="151"/>
      <c r="J50" s="151"/>
      <c r="K50" s="152"/>
      <c r="L50" s="148"/>
      <c r="M50" s="153"/>
      <c r="N50" s="153"/>
      <c r="O50" s="153"/>
      <c r="P50" s="153"/>
      <c r="Q50" s="153"/>
      <c r="R50" s="154"/>
      <c r="S50" s="12"/>
    </row>
    <row r="51" spans="1:206" ht="15" customHeight="1">
      <c r="A51" s="47"/>
      <c r="B51" s="148"/>
      <c r="C51" s="148"/>
      <c r="D51" s="149"/>
      <c r="E51" s="150"/>
      <c r="F51" s="156"/>
      <c r="G51" s="156"/>
      <c r="H51" s="156"/>
      <c r="I51" s="156"/>
      <c r="J51" s="156"/>
      <c r="K51" s="157"/>
      <c r="L51" s="155"/>
      <c r="M51" s="148"/>
      <c r="N51" s="148"/>
      <c r="O51" s="148"/>
      <c r="P51" s="148"/>
      <c r="Q51" s="148"/>
      <c r="R51" s="158"/>
      <c r="S51" s="12"/>
    </row>
    <row r="52" spans="1:206" ht="15" customHeight="1">
      <c r="A52" s="47"/>
      <c r="B52" s="148"/>
      <c r="C52" s="148"/>
      <c r="D52" s="149"/>
      <c r="E52" s="150"/>
      <c r="F52" s="151"/>
      <c r="G52" s="151"/>
      <c r="H52" s="151"/>
      <c r="I52" s="151"/>
      <c r="J52" s="151"/>
      <c r="K52" s="152"/>
      <c r="L52" s="155"/>
      <c r="M52" s="153"/>
      <c r="N52" s="153"/>
      <c r="O52" s="153"/>
      <c r="P52" s="153"/>
      <c r="Q52" s="153"/>
      <c r="R52" s="154"/>
      <c r="S52" s="12"/>
    </row>
    <row r="53" spans="1:206" ht="15" customHeight="1">
      <c r="A53" s="47"/>
      <c r="B53" s="148"/>
      <c r="C53" s="148"/>
      <c r="D53" s="149"/>
      <c r="E53" s="150"/>
      <c r="F53" s="151"/>
      <c r="G53" s="151"/>
      <c r="H53" s="151"/>
      <c r="I53" s="151"/>
      <c r="J53" s="151"/>
      <c r="K53" s="152"/>
      <c r="L53" s="148"/>
      <c r="M53" s="153"/>
      <c r="N53" s="153"/>
      <c r="O53" s="153"/>
      <c r="P53" s="153"/>
      <c r="Q53" s="153"/>
      <c r="R53" s="154"/>
      <c r="S53" s="12"/>
    </row>
    <row r="54" spans="1:206" ht="6" customHeight="1">
      <c r="A54" s="104"/>
      <c r="B54" s="48"/>
      <c r="C54" s="48"/>
      <c r="D54" s="105"/>
      <c r="E54" s="49"/>
      <c r="F54" s="48"/>
      <c r="G54" s="48"/>
      <c r="H54" s="48"/>
      <c r="I54" s="48"/>
      <c r="J54" s="48"/>
      <c r="K54" s="105"/>
      <c r="L54" s="48"/>
      <c r="M54" s="48"/>
      <c r="N54" s="48"/>
      <c r="O54" s="48"/>
      <c r="P54" s="48"/>
      <c r="Q54" s="48"/>
      <c r="R54" s="106"/>
      <c r="S54" s="2"/>
    </row>
    <row r="55" spans="1:206" ht="6" customHeight="1">
      <c r="A55" s="57"/>
      <c r="B55" s="58"/>
      <c r="C55" s="58"/>
      <c r="D55" s="59"/>
      <c r="E55" s="60"/>
      <c r="F55" s="58"/>
      <c r="G55" s="58"/>
      <c r="H55" s="58"/>
      <c r="I55" s="58"/>
      <c r="J55" s="58"/>
      <c r="K55" s="59"/>
      <c r="L55" s="58"/>
      <c r="M55" s="58"/>
      <c r="N55" s="58"/>
      <c r="O55" s="58"/>
      <c r="P55" s="58"/>
      <c r="Q55" s="61"/>
      <c r="R55" s="62"/>
    </row>
    <row r="56" spans="1:206" ht="15" customHeight="1">
      <c r="A56" s="47"/>
      <c r="B56" s="148" t="s">
        <v>41</v>
      </c>
      <c r="C56" s="148"/>
      <c r="D56" s="149"/>
      <c r="E56" s="150" t="s">
        <v>40</v>
      </c>
      <c r="F56" s="151"/>
      <c r="G56" s="151"/>
      <c r="H56" s="151"/>
      <c r="I56" s="151"/>
      <c r="J56" s="151"/>
      <c r="K56" s="152"/>
      <c r="L56" s="148" t="s">
        <v>42</v>
      </c>
      <c r="M56" s="153"/>
      <c r="N56" s="153"/>
      <c r="O56" s="153"/>
      <c r="P56" s="153"/>
      <c r="Q56" s="153"/>
      <c r="R56" s="154"/>
      <c r="S56" s="12"/>
    </row>
    <row r="57" spans="1:206" ht="15" customHeight="1">
      <c r="A57" s="47"/>
      <c r="B57" s="65"/>
      <c r="C57" s="65"/>
      <c r="D57" s="107"/>
      <c r="E57" s="108"/>
      <c r="F57" s="109"/>
      <c r="G57" s="109"/>
      <c r="H57" s="109"/>
      <c r="I57" s="109"/>
      <c r="J57" s="109"/>
      <c r="K57" s="110"/>
      <c r="L57" s="65"/>
      <c r="M57" s="111"/>
      <c r="N57" s="111"/>
      <c r="O57" s="111"/>
      <c r="P57" s="111"/>
      <c r="Q57" s="111"/>
      <c r="R57" s="112"/>
      <c r="S57" s="12"/>
    </row>
    <row r="58" spans="1:206" ht="15" customHeight="1">
      <c r="A58" s="47"/>
      <c r="B58" s="65"/>
      <c r="C58" s="65"/>
      <c r="D58" s="107"/>
      <c r="E58" s="108"/>
      <c r="F58" s="109"/>
      <c r="G58" s="109"/>
      <c r="H58" s="109"/>
      <c r="I58" s="109"/>
      <c r="J58" s="109"/>
      <c r="K58" s="110"/>
      <c r="L58" s="113"/>
      <c r="M58" s="111"/>
      <c r="N58" s="111"/>
      <c r="O58" s="111"/>
      <c r="P58" s="111"/>
      <c r="Q58" s="111"/>
      <c r="R58" s="112"/>
      <c r="S58" s="12"/>
    </row>
    <row r="59" spans="1:206" ht="15" customHeight="1">
      <c r="A59" s="47"/>
      <c r="B59" s="65"/>
      <c r="C59" s="65"/>
      <c r="D59" s="107"/>
      <c r="E59" s="108"/>
      <c r="F59" s="109"/>
      <c r="G59" s="109"/>
      <c r="H59" s="109"/>
      <c r="I59" s="109"/>
      <c r="J59" s="109"/>
      <c r="K59" s="110"/>
      <c r="L59" s="113"/>
      <c r="M59" s="111"/>
      <c r="N59" s="111"/>
      <c r="O59" s="111"/>
      <c r="P59" s="111"/>
      <c r="Q59" s="111"/>
      <c r="R59" s="112"/>
      <c r="S59" s="12"/>
    </row>
    <row r="60" spans="1:206" ht="15" customHeight="1">
      <c r="A60" s="47"/>
      <c r="B60" s="148"/>
      <c r="C60" s="148"/>
      <c r="D60" s="149"/>
      <c r="E60" s="150"/>
      <c r="F60" s="151"/>
      <c r="G60" s="151"/>
      <c r="H60" s="151"/>
      <c r="I60" s="151"/>
      <c r="J60" s="151"/>
      <c r="K60" s="152"/>
      <c r="L60" s="155"/>
      <c r="M60" s="153"/>
      <c r="N60" s="153"/>
      <c r="O60" s="153"/>
      <c r="P60" s="153"/>
      <c r="Q60" s="153"/>
      <c r="R60" s="154"/>
      <c r="S60" s="12"/>
    </row>
    <row r="61" spans="1:206" ht="15" customHeight="1">
      <c r="A61" s="45"/>
      <c r="B61" s="70"/>
      <c r="C61" s="70"/>
      <c r="D61" s="70"/>
      <c r="E61" s="69"/>
      <c r="F61" s="70"/>
      <c r="G61" s="70"/>
      <c r="H61" s="70"/>
      <c r="I61" s="70"/>
      <c r="J61" s="70"/>
      <c r="K61" s="73"/>
      <c r="L61" s="143"/>
      <c r="M61" s="144"/>
      <c r="N61" s="144"/>
      <c r="O61" s="144"/>
      <c r="P61" s="144"/>
      <c r="Q61" s="144"/>
      <c r="R61" s="145"/>
      <c r="S61" s="13"/>
    </row>
    <row r="62" spans="1:206" s="8" customFormat="1" ht="15">
      <c r="A62" s="114"/>
      <c r="B62" s="115" t="s">
        <v>43</v>
      </c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6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</row>
    <row r="63" spans="1:206" s="8" customFormat="1" ht="14.1">
      <c r="A63" s="117"/>
      <c r="B63" s="118" t="s">
        <v>44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20"/>
      <c r="O63" s="120"/>
      <c r="P63" s="120"/>
      <c r="Q63" s="120"/>
      <c r="R63" s="43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</row>
    <row r="64" spans="1:206" s="8" customFormat="1" ht="14.1">
      <c r="A64" s="121"/>
      <c r="B64" s="119" t="s">
        <v>45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20"/>
      <c r="O64" s="120"/>
      <c r="P64" s="120"/>
      <c r="Q64" s="120"/>
      <c r="R64" s="43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</row>
    <row r="65" spans="1:206" s="8" customFormat="1" ht="14.1">
      <c r="A65" s="121"/>
      <c r="B65" s="119" t="s">
        <v>46</v>
      </c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20"/>
      <c r="O65" s="120"/>
      <c r="P65" s="120"/>
      <c r="Q65" s="120"/>
      <c r="R65" s="43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</row>
    <row r="66" spans="1:206" s="8" customFormat="1" ht="15" thickBo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4"/>
      <c r="O66" s="124"/>
      <c r="P66" s="124"/>
      <c r="Q66" s="124"/>
      <c r="R66" s="125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</row>
  </sheetData>
  <mergeCells count="33">
    <mergeCell ref="B53:D53"/>
    <mergeCell ref="B22:N25"/>
    <mergeCell ref="K11:Q11"/>
    <mergeCell ref="I29:M29"/>
    <mergeCell ref="K12:Q15"/>
    <mergeCell ref="P22:Q22"/>
    <mergeCell ref="P23:Q25"/>
    <mergeCell ref="E50:K50"/>
    <mergeCell ref="L50:R50"/>
    <mergeCell ref="B37:M37"/>
    <mergeCell ref="C4:Q4"/>
    <mergeCell ref="I30:M30"/>
    <mergeCell ref="B50:D50"/>
    <mergeCell ref="I31:M31"/>
    <mergeCell ref="I32:M32"/>
    <mergeCell ref="B33:D33"/>
    <mergeCell ref="B41:N41"/>
    <mergeCell ref="L61:R61"/>
    <mergeCell ref="B45:M45"/>
    <mergeCell ref="B56:D56"/>
    <mergeCell ref="E56:K56"/>
    <mergeCell ref="L56:R56"/>
    <mergeCell ref="E60:K60"/>
    <mergeCell ref="L60:R60"/>
    <mergeCell ref="B52:D52"/>
    <mergeCell ref="E52:K52"/>
    <mergeCell ref="L52:R52"/>
    <mergeCell ref="E53:K53"/>
    <mergeCell ref="E51:K51"/>
    <mergeCell ref="L51:R51"/>
    <mergeCell ref="L53:R53"/>
    <mergeCell ref="B60:D60"/>
    <mergeCell ref="B51:D51"/>
  </mergeCells>
  <phoneticPr fontId="57" type="noConversion"/>
  <printOptions horizontalCentered="1"/>
  <pageMargins left="0.51181102362204722" right="0.23622047244094491" top="0.51181102362204722" bottom="0.51181102362204722" header="0.23622047244094491" footer="0.23622047244094491"/>
  <pageSetup paperSize="9" scale="62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56"/>
  <sheetViews>
    <sheetView workbookViewId="0">
      <selection activeCell="G12" sqref="G12"/>
    </sheetView>
  </sheetViews>
  <sheetFormatPr defaultColWidth="8.85546875" defaultRowHeight="12.95"/>
  <cols>
    <col min="2" max="2" width="11.7109375" bestFit="1" customWidth="1"/>
    <col min="4" max="4" width="10.42578125" bestFit="1" customWidth="1"/>
    <col min="5" max="5" width="14.140625" bestFit="1" customWidth="1"/>
    <col min="6" max="6" width="4.28515625" customWidth="1"/>
    <col min="7" max="7" width="21.140625" bestFit="1" customWidth="1"/>
    <col min="8" max="8" width="3.42578125" customWidth="1"/>
    <col min="9" max="9" width="29.42578125" bestFit="1" customWidth="1"/>
    <col min="10" max="10" width="3.140625" customWidth="1"/>
    <col min="11" max="11" width="21.7109375" customWidth="1"/>
    <col min="12" max="12" width="15.140625" bestFit="1" customWidth="1"/>
  </cols>
  <sheetData>
    <row r="4" spans="1:11">
      <c r="B4" s="16"/>
      <c r="D4" s="16"/>
      <c r="E4" s="16"/>
    </row>
    <row r="5" spans="1:11">
      <c r="B5" s="16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20" t="s">
        <v>47</v>
      </c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 t="s">
        <v>48</v>
      </c>
      <c r="B12" s="8" t="s">
        <v>49</v>
      </c>
      <c r="C12" s="8"/>
      <c r="D12" s="8"/>
      <c r="E12" s="8"/>
      <c r="F12" s="8"/>
      <c r="G12" s="8"/>
      <c r="H12" s="8"/>
      <c r="I12" s="8"/>
      <c r="J12" s="21"/>
      <c r="K12" s="24">
        <v>12000000000</v>
      </c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22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22"/>
    </row>
    <row r="15" spans="1:11">
      <c r="A15" s="8" t="s">
        <v>50</v>
      </c>
      <c r="B15" s="8" t="s">
        <v>51</v>
      </c>
      <c r="C15" s="8"/>
      <c r="D15" s="8"/>
      <c r="E15" s="8"/>
      <c r="F15" s="8"/>
      <c r="G15" s="8"/>
      <c r="H15" s="8"/>
      <c r="I15" s="8"/>
      <c r="J15" s="8"/>
      <c r="K15" s="24">
        <f>+SUM(I20:I44)</f>
        <v>5236400000</v>
      </c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22"/>
    </row>
    <row r="17" spans="1:13">
      <c r="A17" s="8"/>
      <c r="B17" s="8"/>
      <c r="C17" s="8" t="s">
        <v>52</v>
      </c>
      <c r="D17" s="8"/>
      <c r="E17" s="8" t="s">
        <v>53</v>
      </c>
      <c r="F17" s="8"/>
      <c r="G17" s="8" t="s">
        <v>54</v>
      </c>
      <c r="H17" s="8"/>
      <c r="I17" s="185" t="s">
        <v>55</v>
      </c>
      <c r="J17" s="8"/>
      <c r="K17" s="8"/>
    </row>
    <row r="18" spans="1:13">
      <c r="A18" s="8"/>
      <c r="B18" s="8"/>
      <c r="C18" s="8" t="s">
        <v>56</v>
      </c>
      <c r="D18" s="8"/>
      <c r="E18" s="8" t="s">
        <v>57</v>
      </c>
      <c r="F18" s="8"/>
      <c r="G18" s="8" t="s">
        <v>40</v>
      </c>
      <c r="H18" s="8"/>
      <c r="I18" s="185"/>
      <c r="J18" s="8"/>
      <c r="K18" s="8"/>
    </row>
    <row r="19" spans="1:13">
      <c r="A19" s="8"/>
      <c r="B19" s="8"/>
      <c r="C19" s="8"/>
      <c r="D19" s="8"/>
      <c r="E19" s="8"/>
      <c r="F19" s="8"/>
      <c r="G19" s="26"/>
      <c r="H19" s="8"/>
      <c r="I19" s="8"/>
      <c r="J19" s="8"/>
      <c r="K19" s="8"/>
    </row>
    <row r="20" spans="1:13">
      <c r="A20" s="8"/>
      <c r="B20" s="8"/>
      <c r="C20" s="8" t="s">
        <v>58</v>
      </c>
      <c r="D20" s="8"/>
      <c r="E20" s="8" t="s">
        <v>59</v>
      </c>
      <c r="F20" s="8"/>
      <c r="G20" s="26">
        <v>41730</v>
      </c>
      <c r="H20" s="8"/>
      <c r="I20" s="29"/>
      <c r="J20" s="8"/>
      <c r="K20" s="8"/>
    </row>
    <row r="21" spans="1:13">
      <c r="A21" s="8"/>
      <c r="B21" s="8"/>
      <c r="C21" s="8" t="s">
        <v>59</v>
      </c>
      <c r="D21" s="8"/>
      <c r="E21" s="8" t="s">
        <v>60</v>
      </c>
      <c r="F21" s="8"/>
      <c r="G21" s="26">
        <v>41760</v>
      </c>
      <c r="H21" s="8"/>
      <c r="I21" s="29"/>
      <c r="J21" s="8"/>
      <c r="K21" s="8"/>
    </row>
    <row r="22" spans="1:13">
      <c r="A22" s="8"/>
      <c r="B22" s="8"/>
      <c r="C22" s="8" t="s">
        <v>60</v>
      </c>
      <c r="D22" s="8"/>
      <c r="E22" s="8" t="s">
        <v>61</v>
      </c>
      <c r="F22" s="8"/>
      <c r="G22" s="26">
        <v>41791</v>
      </c>
      <c r="H22" s="8"/>
      <c r="I22" s="31">
        <v>1701600000</v>
      </c>
      <c r="J22" s="8"/>
      <c r="K22" s="8"/>
    </row>
    <row r="23" spans="1:13">
      <c r="A23" s="8"/>
      <c r="B23" s="8"/>
      <c r="C23" s="8" t="s">
        <v>61</v>
      </c>
      <c r="D23" s="8"/>
      <c r="E23" s="8" t="s">
        <v>62</v>
      </c>
      <c r="F23" s="8"/>
      <c r="G23" s="26">
        <v>41821</v>
      </c>
      <c r="H23" s="8"/>
      <c r="I23" s="24">
        <v>2297100000</v>
      </c>
      <c r="J23" s="8"/>
      <c r="K23" s="8"/>
    </row>
    <row r="24" spans="1:13">
      <c r="A24" s="8"/>
      <c r="B24" s="8"/>
      <c r="C24" s="8" t="s">
        <v>62</v>
      </c>
      <c r="D24" s="8"/>
      <c r="E24" s="8" t="s">
        <v>63</v>
      </c>
      <c r="F24" s="8"/>
      <c r="G24" s="27">
        <v>41852</v>
      </c>
      <c r="H24" s="8"/>
      <c r="I24" s="24">
        <v>639700000</v>
      </c>
      <c r="J24" s="8"/>
      <c r="K24" s="8"/>
      <c r="M24" s="24"/>
    </row>
    <row r="25" spans="1:13">
      <c r="A25" s="8"/>
      <c r="B25" s="8"/>
      <c r="C25" s="8" t="s">
        <v>63</v>
      </c>
      <c r="D25" s="8"/>
      <c r="E25" s="8" t="s">
        <v>64</v>
      </c>
      <c r="F25" s="8"/>
      <c r="G25" s="26">
        <v>41896</v>
      </c>
      <c r="H25" s="8"/>
      <c r="I25" s="24">
        <v>598000000</v>
      </c>
      <c r="J25" s="8"/>
      <c r="K25" s="8"/>
      <c r="L25">
        <v>-3534800000</v>
      </c>
    </row>
    <row r="26" spans="1:13">
      <c r="A26" s="8"/>
      <c r="B26" s="8"/>
      <c r="C26" s="8" t="s">
        <v>64</v>
      </c>
      <c r="D26" s="8"/>
      <c r="E26" s="8" t="s">
        <v>65</v>
      </c>
      <c r="F26" s="8"/>
      <c r="G26" s="26"/>
      <c r="H26" s="8"/>
      <c r="I26" s="24"/>
      <c r="J26" s="8"/>
      <c r="K26" s="8"/>
    </row>
    <row r="27" spans="1:13">
      <c r="A27" s="8"/>
      <c r="B27" s="8"/>
      <c r="C27" s="8" t="s">
        <v>65</v>
      </c>
      <c r="D27" s="8"/>
      <c r="E27" s="8" t="s">
        <v>66</v>
      </c>
      <c r="F27" s="8"/>
      <c r="G27" s="26"/>
      <c r="H27" s="8"/>
      <c r="I27" s="24"/>
      <c r="J27" s="8"/>
      <c r="K27" s="8"/>
      <c r="L27" s="15">
        <f>-2936800000</f>
        <v>-2936800000</v>
      </c>
    </row>
    <row r="28" spans="1:13">
      <c r="A28" s="8"/>
      <c r="B28" s="8"/>
      <c r="C28" s="8" t="s">
        <v>66</v>
      </c>
      <c r="D28" s="8"/>
      <c r="E28" s="8" t="s">
        <v>67</v>
      </c>
      <c r="F28" s="8"/>
      <c r="G28" s="26"/>
      <c r="H28" s="8"/>
      <c r="I28" s="24"/>
      <c r="J28" s="8"/>
      <c r="K28" s="8"/>
    </row>
    <row r="29" spans="1:13">
      <c r="A29" s="8"/>
      <c r="B29" s="8"/>
      <c r="C29" s="8" t="s">
        <v>67</v>
      </c>
      <c r="D29" s="8"/>
      <c r="E29" s="8" t="s">
        <v>68</v>
      </c>
      <c r="F29" s="8"/>
      <c r="G29" s="26"/>
      <c r="H29" s="8"/>
      <c r="I29" s="24"/>
      <c r="J29" s="8"/>
      <c r="K29" s="8"/>
      <c r="L29" s="28">
        <f>L25-L27</f>
        <v>-598000000</v>
      </c>
    </row>
    <row r="30" spans="1:13">
      <c r="A30" s="8"/>
      <c r="B30" s="8"/>
      <c r="C30" s="8" t="s">
        <v>69</v>
      </c>
      <c r="D30" s="8"/>
      <c r="E30" s="8" t="s">
        <v>70</v>
      </c>
      <c r="F30" s="8"/>
      <c r="G30" s="26"/>
      <c r="H30" s="8"/>
      <c r="I30" s="24"/>
      <c r="J30" s="8"/>
      <c r="K30" s="8"/>
    </row>
    <row r="31" spans="1:13">
      <c r="A31" s="8"/>
      <c r="B31" s="8"/>
      <c r="C31" s="8" t="s">
        <v>71</v>
      </c>
      <c r="D31" s="8"/>
      <c r="E31" s="8" t="s">
        <v>72</v>
      </c>
      <c r="F31" s="8"/>
      <c r="G31" s="26"/>
      <c r="H31" s="8"/>
      <c r="I31" s="24"/>
      <c r="J31" s="8"/>
      <c r="K31" s="8"/>
    </row>
    <row r="32" spans="1:13">
      <c r="A32" s="8"/>
      <c r="B32" s="8"/>
      <c r="C32" s="8" t="s">
        <v>70</v>
      </c>
      <c r="D32" s="8"/>
      <c r="E32" s="8" t="s">
        <v>73</v>
      </c>
      <c r="F32" s="8"/>
      <c r="G32" s="26"/>
      <c r="H32" s="8"/>
      <c r="I32" s="24"/>
      <c r="J32" s="8"/>
      <c r="K32" s="8"/>
    </row>
    <row r="33" spans="1:11">
      <c r="A33" s="8"/>
      <c r="B33" s="8"/>
      <c r="C33" s="8" t="s">
        <v>72</v>
      </c>
      <c r="D33" s="8"/>
      <c r="E33" s="8" t="s">
        <v>74</v>
      </c>
      <c r="F33" s="8"/>
      <c r="G33" s="26"/>
      <c r="H33" s="8"/>
      <c r="I33" s="24"/>
      <c r="J33" s="8"/>
      <c r="K33" s="8"/>
    </row>
    <row r="34" spans="1:11">
      <c r="A34" s="8"/>
      <c r="B34" s="8"/>
      <c r="C34" s="8" t="s">
        <v>73</v>
      </c>
      <c r="D34" s="8"/>
      <c r="E34" s="8" t="s">
        <v>75</v>
      </c>
      <c r="F34" s="8"/>
      <c r="G34" s="26"/>
      <c r="H34" s="8"/>
      <c r="I34" s="24"/>
      <c r="J34" s="8"/>
      <c r="K34" s="8"/>
    </row>
    <row r="35" spans="1:11">
      <c r="A35" s="8"/>
      <c r="B35" s="8"/>
      <c r="C35" s="8" t="s">
        <v>74</v>
      </c>
      <c r="D35" s="8"/>
      <c r="E35" s="8" t="s">
        <v>76</v>
      </c>
      <c r="F35" s="8"/>
      <c r="G35" s="26"/>
      <c r="H35" s="8"/>
      <c r="I35" s="24"/>
      <c r="J35" s="8"/>
      <c r="K35" s="8"/>
    </row>
    <row r="36" spans="1:11">
      <c r="A36" s="8"/>
      <c r="B36" s="8"/>
      <c r="C36" s="8" t="s">
        <v>75</v>
      </c>
      <c r="D36" s="8"/>
      <c r="E36" s="8" t="s">
        <v>77</v>
      </c>
      <c r="F36" s="8"/>
      <c r="G36" s="26"/>
      <c r="H36" s="8"/>
      <c r="I36" s="24"/>
      <c r="J36" s="8"/>
      <c r="K36" s="8"/>
    </row>
    <row r="37" spans="1:11">
      <c r="A37" s="8"/>
      <c r="B37" s="8"/>
      <c r="C37" s="8" t="s">
        <v>76</v>
      </c>
      <c r="D37" s="8"/>
      <c r="E37" s="8" t="s">
        <v>78</v>
      </c>
      <c r="F37" s="8"/>
      <c r="G37" s="26"/>
      <c r="H37" s="8"/>
      <c r="I37" s="24"/>
      <c r="J37" s="8"/>
      <c r="K37" s="8"/>
    </row>
    <row r="38" spans="1:11">
      <c r="A38" s="8"/>
      <c r="B38" s="8"/>
      <c r="C38" s="8" t="s">
        <v>77</v>
      </c>
      <c r="D38" s="8"/>
      <c r="E38" s="8" t="s">
        <v>79</v>
      </c>
      <c r="F38" s="8"/>
      <c r="G38" s="26"/>
      <c r="H38" s="8"/>
      <c r="I38" s="24"/>
      <c r="J38" s="8"/>
      <c r="K38" s="8"/>
    </row>
    <row r="39" spans="1:11">
      <c r="A39" s="8"/>
      <c r="B39" s="8"/>
      <c r="C39" s="8" t="s">
        <v>78</v>
      </c>
      <c r="D39" s="8"/>
      <c r="E39" s="8" t="s">
        <v>80</v>
      </c>
      <c r="F39" s="8"/>
      <c r="G39" s="26"/>
      <c r="H39" s="8"/>
      <c r="I39" s="24"/>
      <c r="J39" s="8"/>
      <c r="K39" s="8"/>
    </row>
    <row r="40" spans="1:11">
      <c r="A40" s="8"/>
      <c r="B40" s="8"/>
      <c r="C40" s="8" t="s">
        <v>79</v>
      </c>
      <c r="D40" s="8"/>
      <c r="E40" s="8" t="s">
        <v>81</v>
      </c>
      <c r="F40" s="8"/>
      <c r="G40" s="26"/>
      <c r="H40" s="8"/>
      <c r="I40" s="24"/>
      <c r="J40" s="8"/>
      <c r="K40" s="8"/>
    </row>
    <row r="41" spans="1:11">
      <c r="A41" s="8"/>
      <c r="B41" s="8"/>
      <c r="C41" s="8" t="s">
        <v>80</v>
      </c>
      <c r="D41" s="8"/>
      <c r="E41" s="8" t="s">
        <v>82</v>
      </c>
      <c r="F41" s="8"/>
      <c r="G41" s="26"/>
      <c r="H41" s="8"/>
      <c r="I41" s="24"/>
      <c r="J41" s="8"/>
      <c r="K41" s="8"/>
    </row>
    <row r="42" spans="1:11">
      <c r="A42" s="8"/>
      <c r="B42" s="8"/>
      <c r="C42" s="8" t="s">
        <v>81</v>
      </c>
      <c r="D42" s="8"/>
      <c r="E42" s="8" t="s">
        <v>83</v>
      </c>
      <c r="F42" s="8"/>
      <c r="G42" s="25"/>
      <c r="H42" s="8"/>
      <c r="I42" s="24"/>
      <c r="J42" s="8"/>
      <c r="K42" s="8"/>
    </row>
    <row r="43" spans="1:11">
      <c r="A43" s="8"/>
      <c r="B43" s="8"/>
      <c r="C43" s="8" t="s">
        <v>82</v>
      </c>
      <c r="D43" s="8"/>
      <c r="E43" s="8"/>
      <c r="F43" s="8"/>
      <c r="G43" s="24"/>
      <c r="H43" s="8"/>
      <c r="I43" s="24">
        <v>0</v>
      </c>
      <c r="J43" s="8"/>
      <c r="K43" s="8"/>
    </row>
    <row r="44" spans="1:11">
      <c r="A44" s="8"/>
      <c r="B44" s="8"/>
      <c r="C44" s="8" t="s">
        <v>83</v>
      </c>
      <c r="D44" s="8"/>
      <c r="E44" s="8"/>
      <c r="F44" s="8"/>
      <c r="G44" s="23"/>
      <c r="H44" s="8"/>
      <c r="I44" s="8"/>
      <c r="J44" s="8"/>
      <c r="K44" s="8"/>
    </row>
    <row r="53" spans="9:11" ht="14.1" thickBot="1">
      <c r="I53" s="17" t="s">
        <v>84</v>
      </c>
      <c r="J53" s="18" t="s">
        <v>85</v>
      </c>
      <c r="K53" s="19">
        <f>K12-K15</f>
        <v>6763600000</v>
      </c>
    </row>
    <row r="55" spans="9:11">
      <c r="K55">
        <v>8465200000</v>
      </c>
    </row>
    <row r="56" spans="9:11">
      <c r="K56" s="30">
        <f>K53-K55</f>
        <v>-1701600000</v>
      </c>
    </row>
  </sheetData>
  <mergeCells count="1">
    <mergeCell ref="I17:I18"/>
  </mergeCells>
  <phoneticPr fontId="7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31C5CF7EFDBF4B9B437A8911D1F490" ma:contentTypeVersion="4" ma:contentTypeDescription="Create a new document." ma:contentTypeScope="" ma:versionID="90430fc5cf42de150ce21bf88c53a1b7">
  <xsd:schema xmlns:xsd="http://www.w3.org/2001/XMLSchema" xmlns:xs="http://www.w3.org/2001/XMLSchema" xmlns:p="http://schemas.microsoft.com/office/2006/metadata/properties" xmlns:ns2="087c67c9-9c9c-48b6-9cc7-672ed82a90d5" targetNamespace="http://schemas.microsoft.com/office/2006/metadata/properties" ma:root="true" ma:fieldsID="f17df3021a6f872805901b0bbfceecf5" ns2:_="">
    <xsd:import namespace="087c67c9-9c9c-48b6-9cc7-672ed82a90d5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c67c9-9c9c-48b6-9cc7-672ed82a90d5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E2EB1-EAEF-4B86-BA1A-2F476F17A865}"/>
</file>

<file path=customXml/itemProps2.xml><?xml version="1.0" encoding="utf-8"?>
<ds:datastoreItem xmlns:ds="http://schemas.openxmlformats.org/officeDocument/2006/customXml" ds:itemID="{A67DC00F-9900-4B8C-A024-2D21D2C0B08F}"/>
</file>

<file path=customXml/itemProps3.xml><?xml version="1.0" encoding="utf-8"?>
<ds:datastoreItem xmlns:ds="http://schemas.openxmlformats.org/officeDocument/2006/customXml" ds:itemID="{8C4B1E98-CFCB-49AA-95C1-B3337ABD7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T&amp;T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linggoidih</dc:creator>
  <cp:keywords/>
  <dc:description/>
  <cp:lastModifiedBy>He, Grace</cp:lastModifiedBy>
  <cp:revision/>
  <dcterms:created xsi:type="dcterms:W3CDTF">2009-07-08T04:57:44Z</dcterms:created>
  <dcterms:modified xsi:type="dcterms:W3CDTF">2026-04-17T08:53:19Z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0x0101009631C5CF7EFDBF4B9B437A8911D1F490</vt:lpwstr>
  </property>
  <property fmtid="{D5CDD505-2E9C-101B-9397-08002B2CF9AE}" pid="3" name="PMTags">
    <vt:lpwstr/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GUID">
    <vt:lpwstr>2fbfd88e-52c5-4dd9-af22-7bf1123f07aa</vt:lpwstr>
  </property>
  <property fmtid="{D5CDD505-2E9C-101B-9397-08002B2CF9AE}" pid="13" name="xd_Signature">
    <vt:bool>false</vt:bool>
  </property>
</Properties>
</file>