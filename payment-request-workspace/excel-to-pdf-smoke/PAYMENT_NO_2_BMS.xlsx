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0" yWindow="720" windowWidth="29400" windowHeight="18400" tabRatio="753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Advance Payment Schedule" sheetId="2" state="hidden" r:id="rId2"/>
  </sheets>
  <definedNames>
    <definedName name="__IntlFixup" hidden="1">TRUE</definedName>
    <definedName name="_Sort" hidden="1">#REF!</definedName>
    <definedName name="_Sort" localSheetId="0" hidden="1">#REF!</definedName>
    <definedName name="_xlnm.Print_Area" localSheetId="0">'Invoice'!$A$1:$R$66</definedName>
  </definedNames>
  <calcPr calcId="191028" fullCalcOnLoad="1"/>
</workbook>
</file>

<file path=xl/styles.xml><?xml version="1.0" encoding="utf-8"?>
<styleSheet xmlns="http://schemas.openxmlformats.org/spreadsheetml/2006/main">
  <numFmts count="19">
    <numFmt numFmtId="164" formatCode="_-* #,##0.00_-;\-* #,##0.00_-;_-* &quot;-&quot;??_-;_-@_-"/>
    <numFmt numFmtId="165" formatCode="[$₩-412]#,##0"/>
    <numFmt numFmtId="166" formatCode="_ [$R-1C09]\ * #,##0.00_ ;_ [$R-1C09]\ * \-#,##0.00_ ;_ [$R-1C09]\ * &quot;-&quot;??_ ;_ @_ "/>
    <numFmt numFmtId="167" formatCode="_ [$KRW]\ * #,##0_ ;_ [$KRW]\ * \-#,##0_ ;_ [$KRW]\ * &quot;-&quot;_ ;_ @_ "/>
    <numFmt numFmtId="168" formatCode="[$-1C09]dd\ mmmm\ yyyy;@"/>
    <numFmt numFmtId="169" formatCode="_(&quot;$&quot;* #,##0.00_);_(&quot;$&quot;* \(#,##0.00\);_(&quot;$&quot;* &quot;-&quot;??_);_(@_)"/>
    <numFmt numFmtId="170" formatCode="_ [$¥-804]* #,##0.00_ ;_ [$¥-804]* \-#,##0.00_ ;_ [$¥-804]* &quot;-&quot;??_ ;_ @_ "/>
    <numFmt numFmtId="171" formatCode="0.000&quot;  &quot;"/>
    <numFmt numFmtId="172" formatCode="0.0%"/>
    <numFmt numFmtId="173" formatCode="&quot;$&quot;#,##0.00000000_);[Red]\(&quot;$&quot;#,##0.00000000\)"/>
    <numFmt numFmtId="174" formatCode="&quot;$&quot;#,##0.00;\-&quot;$&quot;#,##0.00"/>
    <numFmt numFmtId="175" formatCode="&quot;₩&quot;&quot;₩&quot;&quot;₩&quot;&quot;₩&quot;&quot;₩&quot;\$#,##0_);&quot;₩&quot;&quot;₩&quot;&quot;₩&quot;&quot;₩&quot;&quot;₩&quot;\(&quot;₩&quot;&quot;₩&quot;&quot;₩&quot;&quot;₩&quot;&quot;₩&quot;\$#,##0&quot;₩&quot;&quot;₩&quot;&quot;₩&quot;&quot;₩&quot;&quot;₩&quot;\)"/>
    <numFmt numFmtId="176" formatCode="_-* #,##0_-;\-* #,##0_-;_-* &quot;-&quot;_-;_-@_-"/>
    <numFmt numFmtId="177" formatCode="#,##0\ &quot;F&quot;;[Red]\-#,##0\ &quot;F&quot;"/>
    <numFmt numFmtId="178" formatCode="#,##0.00\ &quot;F&quot;;[Red]\-#,##0.00\ &quot;F&quot;"/>
    <numFmt numFmtId="179" formatCode="_-&quot;£&quot;* #,##0_-;\-&quot;£&quot;* #,##0_-;_-&quot;£&quot;* &quot;-&quot;_-;_-@_-"/>
    <numFmt numFmtId="180" formatCode="_-&quot;£&quot;* #,##0.00_-;\-&quot;£&quot;* #,##0.00_-;_-&quot;£&quot;* &quot;-&quot;??_-;_-@_-"/>
    <numFmt numFmtId="181" formatCode="_ * #,##0.00_ ;_ * \-#,##0.00_ ;_ * &quot;-&quot;??_ ;_ @_ "/>
    <numFmt numFmtId="182" formatCode="_ * #,##0_ ;_ * \-#,##0_ ;_ * &quot;-&quot;_ ;_ @_ "/>
  </numFmts>
  <fonts count="78">
    <font>
      <name val="Arial"/>
      <sz val="10"/>
    </font>
    <font>
      <name val="Arial"/>
      <family val="2"/>
      <sz val="10"/>
    </font>
    <font>
      <name val="Times New Roman"/>
      <family val="1"/>
      <sz val="12"/>
    </font>
    <font>
      <name val="Helv"/>
      <charset val="204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Arial"/>
      <family val="2"/>
      <sz val="8"/>
    </font>
    <font>
      <name val="Times New Roman"/>
      <family val="1"/>
      <sz val="8"/>
    </font>
    <font>
      <name val="TimesNewRomanPS"/>
      <sz val="10"/>
    </font>
    <font>
      <name val="Calibri"/>
      <family val="2"/>
      <color indexed="20"/>
      <sz val="11"/>
    </font>
    <font>
      <name val="Courier"/>
      <family val="3"/>
      <sz val="10"/>
    </font>
    <font>
      <name val="Arial"/>
      <family val="2"/>
      <sz val="10"/>
    </font>
    <font>
      <name val="MS Sans Serif"/>
      <family val="2"/>
      <sz val="10"/>
    </font>
    <font>
      <name val="Calibri"/>
      <family val="2"/>
      <b val="1"/>
      <color indexed="52"/>
      <sz val="11"/>
    </font>
    <font>
      <name val="Helv"/>
      <b val="1"/>
      <sz val="10"/>
    </font>
    <font>
      <name val="Calibri"/>
      <family val="2"/>
      <b val="1"/>
      <color indexed="9"/>
      <sz val="11"/>
    </font>
    <font>
      <name val="Arial"/>
      <family val="2"/>
      <color indexed="24"/>
      <sz val="10"/>
    </font>
    <font>
      <name val="MS Serif"/>
      <family val="1"/>
      <sz val="10"/>
    </font>
    <font>
      <name val="MS Serif"/>
      <family val="1"/>
      <color indexed="16"/>
      <sz val="10"/>
    </font>
    <font>
      <name val="Calibri"/>
      <family val="2"/>
      <i val="1"/>
      <color indexed="23"/>
      <sz val="11"/>
    </font>
    <font>
      <name val="Times New Roman"/>
      <family val="1"/>
      <b val="1"/>
      <color indexed="33"/>
      <sz val="12"/>
    </font>
    <font>
      <name val="Calibri"/>
      <family val="2"/>
      <color indexed="17"/>
      <sz val="11"/>
    </font>
    <font>
      <name val="Helv"/>
      <b val="1"/>
      <sz val="12"/>
    </font>
    <font>
      <name val="Arial"/>
      <family val="2"/>
      <b val="1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MS Sans Serif"/>
      <family val="2"/>
      <b val="1"/>
      <sz val="8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Helv"/>
      <b val="1"/>
      <sz val="11"/>
    </font>
    <font>
      <name val="Arial"/>
      <family val="2"/>
      <b val="1"/>
      <color indexed="9"/>
      <sz val="10"/>
    </font>
    <font>
      <name val="Calibri"/>
      <family val="2"/>
      <color indexed="60"/>
      <sz val="11"/>
    </font>
    <font>
      <name val="Times New Roman"/>
      <family val="1"/>
      <sz val="10"/>
    </font>
    <font>
      <name val="Small Fonts"/>
      <family val="2"/>
      <sz val="7"/>
    </font>
    <font>
      <name val="Arial"/>
      <family val="2"/>
      <sz val="12"/>
    </font>
    <font>
      <name val="Calibri"/>
      <family val="2"/>
      <b val="1"/>
      <color indexed="63"/>
      <sz val="11"/>
    </font>
    <font>
      <name val="Arial"/>
      <family val="2"/>
      <color indexed="9"/>
      <sz val="12"/>
    </font>
    <font>
      <name val="MS Sans Serif"/>
      <family val="2"/>
      <b val="1"/>
      <sz val="10"/>
    </font>
    <font>
      <name val="Wingdings"/>
      <charset val="2"/>
      <sz val="8"/>
    </font>
    <font>
      <name val="Helv"/>
      <sz val="8"/>
    </font>
    <font>
      <name val="Helv"/>
      <b val="1"/>
      <sz val="8.25"/>
    </font>
    <font>
      <name val="Geneva"/>
      <family val="2"/>
      <color indexed="12"/>
      <sz val="10"/>
    </font>
    <font>
      <name val="MS Sans Serif"/>
      <family val="2"/>
      <sz val="8"/>
    </font>
    <font>
      <name val="Helv"/>
      <b val="1"/>
      <color indexed="8"/>
      <sz val="8"/>
    </font>
    <font>
      <name val="Arial"/>
      <family val="2"/>
      <color indexed="8"/>
      <sz val="10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明朝"/>
      <family val="1"/>
      <sz val="11"/>
    </font>
    <font>
      <name val="Verdana"/>
      <family val="2"/>
      <b val="1"/>
      <color indexed="9"/>
      <sz val="10"/>
    </font>
    <font>
      <name val="Verdana"/>
      <family val="2"/>
      <sz val="10"/>
    </font>
    <font>
      <name val="Verdana"/>
      <family val="2"/>
      <color indexed="8"/>
      <sz val="10"/>
    </font>
    <font>
      <name val="Verdana"/>
      <family val="2"/>
      <b val="1"/>
      <color indexed="8"/>
      <sz val="8.5"/>
    </font>
    <font>
      <name val="Verdana"/>
      <family val="2"/>
      <color indexed="8"/>
      <sz val="8.5"/>
    </font>
    <font>
      <name val="Verdana"/>
      <family val="2"/>
      <sz val="8.5"/>
    </font>
    <font>
      <name val="Verdana"/>
      <family val="2"/>
      <b val="1"/>
      <sz val="10"/>
    </font>
    <font>
      <name val="돋움"/>
      <charset val="129"/>
      <family val="3"/>
      <sz val="8"/>
    </font>
    <font>
      <name val="Arial"/>
      <family val="2"/>
      <b val="1"/>
      <sz val="10"/>
    </font>
    <font>
      <name val="Verdana"/>
      <family val="2"/>
      <b val="1"/>
      <sz val="10"/>
      <u val="single"/>
    </font>
    <font>
      <name val="Verdana"/>
      <family val="2"/>
      <b val="1"/>
      <sz val="11"/>
    </font>
    <font>
      <name val="Arial"/>
      <family val="2"/>
      <sz val="11"/>
    </font>
    <font>
      <name val="Arial"/>
      <family val="2"/>
      <color indexed="9"/>
      <sz val="11"/>
    </font>
    <font>
      <name val="Verdana"/>
      <family val="2"/>
      <sz val="11"/>
    </font>
    <font>
      <name val="Verdana"/>
      <family val="2"/>
      <b val="1"/>
      <color indexed="8"/>
      <sz val="11"/>
    </font>
    <font>
      <name val="Verdana"/>
      <family val="2"/>
      <color indexed="8"/>
      <sz val="11"/>
    </font>
    <font>
      <name val="Verdana"/>
      <family val="2"/>
      <color rgb="FFFF0000"/>
      <sz val="11"/>
    </font>
    <font>
      <name val="Verdana"/>
      <family val="2"/>
      <b val="1"/>
      <color indexed="8"/>
      <sz val="11"/>
      <u val="single"/>
    </font>
    <font>
      <name val="Verdana"/>
      <family val="2"/>
      <color indexed="8"/>
      <sz val="11"/>
      <u val="single"/>
    </font>
    <font>
      <name val="Verdana"/>
      <family val="2"/>
      <b val="1"/>
      <color theme="1"/>
      <sz val="11"/>
    </font>
    <font>
      <name val="Calibri"/>
      <family val="2"/>
      <color indexed="81"/>
      <sz val="10"/>
    </font>
    <font>
      <name val="宋体"/>
      <charset val="134"/>
      <family val="3"/>
      <sz val="9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Microsoft YaHei UI"/>
      <charset val="134"/>
      <family val="2"/>
      <b val="1"/>
      <color rgb="FF000000"/>
      <sz val="10"/>
    </font>
    <font>
      <name val="Microsoft YaHei"/>
      <charset val="134"/>
      <family val="2"/>
      <sz val="11"/>
    </font>
    <font>
      <name val="Verdana"/>
      <charset val="134"/>
      <family val="2"/>
      <sz val="11"/>
    </font>
    <font>
      <name val="Microsoft YaHei"/>
      <charset val="134"/>
      <family val="2"/>
      <color rgb="FF000000"/>
      <sz val="11"/>
    </font>
  </fonts>
  <fills count="35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darkVertical"/>
    </fill>
    <fill>
      <patternFill patternType="darkGray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136">
    <xf numFmtId="0" fontId="0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0" borderId="0"/>
    <xf numFmtId="0" fontId="7" fillId="0" borderId="0" applyAlignment="1" applyProtection="1">
      <alignment horizontal="center" wrapText="1"/>
      <protection locked="0" hidden="0"/>
    </xf>
    <xf numFmtId="41" fontId="8" fillId="0" borderId="0"/>
    <xf numFmtId="43" fontId="8" fillId="0" borderId="0"/>
    <xf numFmtId="0" fontId="9" fillId="3" borderId="0"/>
    <xf numFmtId="0" fontId="8" fillId="0" borderId="0"/>
    <xf numFmtId="171" fontId="10" fillId="0" borderId="0"/>
    <xf numFmtId="172" fontId="11" fillId="0" borderId="0"/>
    <xf numFmtId="173" fontId="12" fillId="0" borderId="0"/>
    <xf numFmtId="0" fontId="13" fillId="20" borderId="1"/>
    <xf numFmtId="0" fontId="14" fillId="0" borderId="0"/>
    <xf numFmtId="0" fontId="15" fillId="21" borderId="2"/>
    <xf numFmtId="0" fontId="11" fillId="0" borderId="3" applyAlignment="1">
      <alignment horizontal="center" vertical="center"/>
    </xf>
    <xf numFmtId="43" fontId="11" fillId="0" borderId="0"/>
    <xf numFmtId="43" fontId="11" fillId="0" borderId="0"/>
    <xf numFmtId="3" fontId="16" fillId="0" borderId="0"/>
    <xf numFmtId="0" fontId="17" fillId="0" borderId="0" applyAlignment="1">
      <alignment horizontal="left"/>
    </xf>
    <xf numFmtId="44" fontId="11" fillId="0" borderId="0"/>
    <xf numFmtId="44" fontId="11" fillId="0" borderId="0"/>
    <xf numFmtId="174" fontId="11" fillId="0" borderId="0"/>
    <xf numFmtId="175" fontId="6" fillId="22" borderId="0"/>
    <xf numFmtId="15" fontId="12" fillId="0" borderId="0"/>
    <xf numFmtId="176" fontId="11" fillId="0" borderId="0"/>
    <xf numFmtId="164" fontId="11" fillId="0" borderId="0"/>
    <xf numFmtId="171" fontId="10" fillId="0" borderId="0"/>
    <xf numFmtId="0" fontId="18" fillId="0" borderId="0" applyAlignment="1">
      <alignment horizontal="left"/>
    </xf>
    <xf numFmtId="0" fontId="19" fillId="0" borderId="0"/>
    <xf numFmtId="2" fontId="16" fillId="0" borderId="0"/>
    <xf numFmtId="37" fontId="20" fillId="23" borderId="0" applyProtection="1">
      <protection locked="0" hidden="0"/>
    </xf>
    <xf numFmtId="0" fontId="21" fillId="4" borderId="0"/>
    <xf numFmtId="38" fontId="6" fillId="22" borderId="0"/>
    <xf numFmtId="0" fontId="22" fillId="0" borderId="0" applyAlignment="1">
      <alignment horizontal="left"/>
    </xf>
    <xf numFmtId="0" fontId="23" fillId="0" borderId="4" applyAlignment="1">
      <alignment horizontal="left" vertical="center"/>
    </xf>
    <xf numFmtId="0" fontId="23" fillId="0" borderId="5" applyAlignment="1">
      <alignment horizontal="left" vertical="center"/>
    </xf>
    <xf numFmtId="0" fontId="24" fillId="0" borderId="6"/>
    <xf numFmtId="0" fontId="25" fillId="0" borderId="7"/>
    <xf numFmtId="0" fontId="26" fillId="0" borderId="8"/>
    <xf numFmtId="0" fontId="26" fillId="0" borderId="0"/>
    <xf numFmtId="0" fontId="27" fillId="0" borderId="9" applyAlignment="1">
      <alignment horizontal="center"/>
    </xf>
    <xf numFmtId="0" fontId="27" fillId="0" borderId="0" applyAlignment="1">
      <alignment horizontal="center"/>
    </xf>
    <xf numFmtId="0" fontId="28" fillId="7" borderId="1"/>
    <xf numFmtId="10" fontId="6" fillId="24" borderId="10"/>
    <xf numFmtId="38" fontId="2" fillId="23" borderId="0" applyProtection="1">
      <protection locked="0" hidden="0"/>
    </xf>
    <xf numFmtId="171" fontId="10" fillId="0" borderId="0"/>
    <xf numFmtId="0" fontId="29" fillId="0" borderId="11"/>
    <xf numFmtId="38" fontId="12" fillId="0" borderId="0"/>
    <xf numFmtId="40" fontId="12" fillId="0" borderId="0"/>
    <xf numFmtId="0" fontId="30" fillId="0" borderId="9"/>
    <xf numFmtId="177" fontId="12" fillId="0" borderId="0"/>
    <xf numFmtId="178" fontId="12" fillId="0" borderId="0"/>
    <xf numFmtId="44" fontId="31" fillId="25" borderId="0" applyAlignment="1">
      <alignment vertical="top"/>
    </xf>
    <xf numFmtId="0" fontId="32" fillId="26" borderId="0"/>
    <xf numFmtId="0" fontId="33" fillId="0" borderId="0"/>
    <xf numFmtId="37" fontId="34" fillId="0" borderId="0"/>
    <xf numFmtId="179" fontId="35" fillId="0" borderId="0"/>
    <xf numFmtId="171" fontId="10" fillId="0" borderId="0"/>
    <xf numFmtId="0" fontId="11" fillId="0" borderId="0"/>
    <xf numFmtId="0" fontId="11" fillId="0" borderId="0"/>
    <xf numFmtId="0" fontId="4" fillId="27" borderId="12"/>
    <xf numFmtId="0" fontId="11" fillId="0" borderId="0"/>
    <xf numFmtId="0" fontId="11" fillId="0" borderId="0"/>
    <xf numFmtId="0" fontId="36" fillId="20" borderId="13"/>
    <xf numFmtId="14" fontId="7" fillId="0" borderId="0" applyAlignment="1" applyProtection="1">
      <alignment horizontal="center" wrapText="1"/>
      <protection locked="0" hidden="0"/>
    </xf>
    <xf numFmtId="10" fontId="11" fillId="0" borderId="0"/>
    <xf numFmtId="9" fontId="11" fillId="0" borderId="0"/>
    <xf numFmtId="171" fontId="10" fillId="0" borderId="0"/>
    <xf numFmtId="0" fontId="37" fillId="0" borderId="14"/>
    <xf numFmtId="0" fontId="12" fillId="0" borderId="0" applyAlignment="1">
      <alignment horizontal="left"/>
    </xf>
    <xf numFmtId="15" fontId="12" fillId="0" borderId="0"/>
    <xf numFmtId="4" fontId="12" fillId="0" borderId="0"/>
    <xf numFmtId="0" fontId="38" fillId="0" borderId="9" applyAlignment="1">
      <alignment horizontal="center"/>
    </xf>
    <xf numFmtId="3" fontId="12" fillId="0" borderId="0"/>
    <xf numFmtId="0" fontId="12" fillId="28" borderId="0"/>
    <xf numFmtId="0" fontId="39" fillId="29" borderId="0" applyAlignment="1">
      <alignment horizontal="center"/>
    </xf>
    <xf numFmtId="14" fontId="40" fillId="0" borderId="0" applyAlignment="1">
      <alignment horizontal="left"/>
    </xf>
    <xf numFmtId="0" fontId="41" fillId="30" borderId="15"/>
    <xf numFmtId="0" fontId="39" fillId="1" borderId="5" applyAlignment="1">
      <alignment horizontal="center"/>
    </xf>
    <xf numFmtId="0" fontId="42" fillId="0" borderId="0" applyAlignment="1">
      <alignment horizontal="center"/>
    </xf>
    <xf numFmtId="0" fontId="43" fillId="0" borderId="0" applyAlignment="1">
      <alignment horizontal="center"/>
    </xf>
    <xf numFmtId="178" fontId="12" fillId="0" borderId="0" applyAlignment="1">
      <alignment horizontal="center"/>
    </xf>
    <xf numFmtId="0" fontId="2" fillId="0" borderId="0"/>
    <xf numFmtId="0" fontId="30" fillId="0" borderId="0"/>
    <xf numFmtId="40" fontId="44" fillId="0" borderId="0" applyAlignment="1">
      <alignment horizontal="right"/>
    </xf>
    <xf numFmtId="49" fontId="45" fillId="0" borderId="0"/>
    <xf numFmtId="171" fontId="10" fillId="0" borderId="0"/>
    <xf numFmtId="0" fontId="46" fillId="0" borderId="0"/>
    <xf numFmtId="0" fontId="47" fillId="0" borderId="16"/>
    <xf numFmtId="179" fontId="11" fillId="0" borderId="0"/>
    <xf numFmtId="180" fontId="11" fillId="0" borderId="0"/>
    <xf numFmtId="0" fontId="48" fillId="0" borderId="0"/>
    <xf numFmtId="181" fontId="49" fillId="0" borderId="0"/>
    <xf numFmtId="182" fontId="49" fillId="0" borderId="0"/>
    <xf numFmtId="0" fontId="49" fillId="0" borderId="0"/>
    <xf numFmtId="44" fontId="49" fillId="0" borderId="0"/>
    <xf numFmtId="42" fontId="49" fillId="0" borderId="0"/>
    <xf numFmtId="0" fontId="11" fillId="0" borderId="0"/>
    <xf numFmtId="172" fontId="11" fillId="0" borderId="0"/>
    <xf numFmtId="0" fontId="11" fillId="0" borderId="3" applyAlignment="1">
      <alignment horizontal="center" vertical="center"/>
    </xf>
    <xf numFmtId="43" fontId="11" fillId="0" borderId="0"/>
    <xf numFmtId="44" fontId="11" fillId="0" borderId="0"/>
    <xf numFmtId="174" fontId="11" fillId="0" borderId="0"/>
    <xf numFmtId="0" fontId="11" fillId="0" borderId="0"/>
    <xf numFmtId="10" fontId="11" fillId="0" borderId="0"/>
    <xf numFmtId="9" fontId="11" fillId="0" borderId="0"/>
    <xf numFmtId="14" fontId="40" fillId="0" borderId="0" applyAlignment="1">
      <alignment horizontal="left"/>
    </xf>
    <xf numFmtId="0" fontId="11" fillId="0" borderId="0"/>
  </cellStyleXfs>
  <cellXfs count="222">
    <xf numFmtId="0" fontId="0" fillId="0" borderId="0" pivotButton="0" quotePrefix="0" xfId="0"/>
    <xf numFmtId="0" fontId="54" fillId="0" borderId="0" applyAlignment="1" pivotButton="0" quotePrefix="0" xfId="0">
      <alignment vertical="top"/>
    </xf>
    <xf numFmtId="0" fontId="55" fillId="0" borderId="0" pivotButton="0" quotePrefix="0" xfId="0"/>
    <xf numFmtId="0" fontId="53" fillId="0" borderId="0" applyAlignment="1" pivotButton="0" quotePrefix="0" xfId="0">
      <alignment vertical="top"/>
    </xf>
    <xf numFmtId="40" fontId="54" fillId="0" borderId="0" applyAlignment="1" pivotButton="0" quotePrefix="0" xfId="0">
      <alignment vertical="top" wrapText="1"/>
    </xf>
    <xf numFmtId="43" fontId="53" fillId="0" borderId="0" applyAlignment="1" pivotButton="0" quotePrefix="0" xfId="43">
      <alignment vertical="top"/>
    </xf>
    <xf numFmtId="164" fontId="54" fillId="0" borderId="0" applyAlignment="1" pivotButton="0" quotePrefix="0" xfId="0">
      <alignment vertical="top"/>
    </xf>
    <xf numFmtId="43" fontId="54" fillId="0" borderId="0" applyAlignment="1" pivotButton="0" quotePrefix="0" xfId="0">
      <alignment vertical="top"/>
    </xf>
    <xf numFmtId="0" fontId="51" fillId="0" borderId="0" pivotButton="0" quotePrefix="0" xfId="0"/>
    <xf numFmtId="0" fontId="51" fillId="0" borderId="0" applyAlignment="1" pivotButton="0" quotePrefix="0" xfId="87">
      <alignment vertical="top"/>
    </xf>
    <xf numFmtId="0" fontId="1" fillId="31" borderId="0" pivotButton="0" quotePrefix="0" xfId="87"/>
    <xf numFmtId="43" fontId="54" fillId="0" borderId="0" applyAlignment="1" pivotButton="0" quotePrefix="0" xfId="43">
      <alignment vertical="top"/>
    </xf>
    <xf numFmtId="0" fontId="55" fillId="0" borderId="0" applyAlignment="1" pivotButton="0" quotePrefix="0" xfId="0">
      <alignment horizontal="center" vertical="top"/>
    </xf>
    <xf numFmtId="0" fontId="54" fillId="0" borderId="0" applyAlignment="1" pivotButton="0" quotePrefix="0" xfId="0">
      <alignment horizontal="center" vertical="top"/>
    </xf>
    <xf numFmtId="43" fontId="54" fillId="0" borderId="0" applyAlignment="1" pivotButton="0" quotePrefix="0" xfId="43">
      <alignment vertical="top"/>
    </xf>
    <xf numFmtId="165" fontId="54" fillId="0" borderId="0" applyAlignment="1" pivotButton="0" quotePrefix="0" xfId="43">
      <alignment horizontal="right" vertical="top" wrapText="1"/>
    </xf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58" fillId="0" borderId="0" applyAlignment="1" pivotButton="0" quotePrefix="0" xfId="0">
      <alignment horizontal="right"/>
    </xf>
    <xf numFmtId="4" fontId="58" fillId="0" borderId="44" pivotButton="0" quotePrefix="0" xfId="0"/>
    <xf numFmtId="0" fontId="59" fillId="0" borderId="0" applyAlignment="1" pivotButton="0" quotePrefix="0" xfId="0">
      <alignment horizontal="center"/>
    </xf>
    <xf numFmtId="0" fontId="51" fillId="0" borderId="0" applyAlignment="1" pivotButton="0" quotePrefix="0" xfId="0">
      <alignment horizontal="right"/>
    </xf>
    <xf numFmtId="166" fontId="51" fillId="0" borderId="0" pivotButton="0" quotePrefix="0" xfId="0"/>
    <xf numFmtId="0" fontId="51" fillId="0" borderId="0" applyAlignment="1" pivotButton="0" quotePrefix="0" xfId="0">
      <alignment horizontal="left"/>
    </xf>
    <xf numFmtId="167" fontId="51" fillId="0" borderId="0" pivotButton="0" quotePrefix="0" xfId="0"/>
    <xf numFmtId="168" fontId="51" fillId="0" borderId="0" pivotButton="0" quotePrefix="0" xfId="0"/>
    <xf numFmtId="17" fontId="51" fillId="0" borderId="0" pivotButton="0" quotePrefix="0" xfId="0"/>
    <xf numFmtId="17" fontId="0" fillId="0" borderId="0" pivotButton="0" quotePrefix="0" xfId="0"/>
    <xf numFmtId="165" fontId="0" fillId="0" borderId="0" pivotButton="0" quotePrefix="0" xfId="0"/>
    <xf numFmtId="167" fontId="51" fillId="33" borderId="0" pivotButton="0" quotePrefix="0" xfId="0"/>
    <xf numFmtId="4" fontId="0" fillId="0" borderId="0" pivotButton="0" quotePrefix="0" xfId="0"/>
    <xf numFmtId="167" fontId="51" fillId="34" borderId="0" pivotButton="0" quotePrefix="0" xfId="0"/>
    <xf numFmtId="0" fontId="64" fillId="32" borderId="0" applyAlignment="1" pivotButton="0" quotePrefix="0" xfId="0">
      <alignment vertical="top"/>
    </xf>
    <xf numFmtId="0" fontId="63" fillId="32" borderId="0" applyAlignment="1" pivotButton="0" quotePrefix="0" xfId="0">
      <alignment vertical="top"/>
    </xf>
    <xf numFmtId="0" fontId="60" fillId="32" borderId="0" applyAlignment="1" pivotButton="0" quotePrefix="0" xfId="0">
      <alignment vertical="top"/>
    </xf>
    <xf numFmtId="0" fontId="50" fillId="32" borderId="38" applyAlignment="1" pivotButton="0" quotePrefix="0" xfId="87">
      <alignment vertical="center"/>
    </xf>
    <xf numFmtId="0" fontId="60" fillId="32" borderId="39" applyAlignment="1" pivotButton="0" quotePrefix="0" xfId="87">
      <alignment vertical="center"/>
    </xf>
    <xf numFmtId="0" fontId="61" fillId="32" borderId="39" pivotButton="0" quotePrefix="0" xfId="87"/>
    <xf numFmtId="0" fontId="62" fillId="32" borderId="39" pivotButton="0" quotePrefix="0" xfId="87"/>
    <xf numFmtId="0" fontId="63" fillId="32" borderId="39" applyAlignment="1" pivotButton="0" quotePrefix="0" xfId="87">
      <alignment vertical="top"/>
    </xf>
    <xf numFmtId="39" fontId="63" fillId="32" borderId="39" applyAlignment="1" pivotButton="0" quotePrefix="0" xfId="87">
      <alignment vertical="top"/>
    </xf>
    <xf numFmtId="0" fontId="63" fillId="32" borderId="40" applyAlignment="1" pivotButton="0" quotePrefix="0" xfId="87">
      <alignment vertical="top"/>
    </xf>
    <xf numFmtId="0" fontId="52" fillId="32" borderId="20" applyAlignment="1" pivotButton="0" quotePrefix="0" xfId="0">
      <alignment vertical="top"/>
    </xf>
    <xf numFmtId="0" fontId="65" fillId="32" borderId="21" applyAlignment="1" pivotButton="0" quotePrefix="0" xfId="0">
      <alignment vertical="top"/>
    </xf>
    <xf numFmtId="0" fontId="65" fillId="32" borderId="0" applyAlignment="1" pivotButton="0" quotePrefix="0" xfId="0">
      <alignment vertical="top"/>
    </xf>
    <xf numFmtId="0" fontId="54" fillId="32" borderId="22" applyAlignment="1" pivotButton="0" quotePrefix="0" xfId="0">
      <alignment vertical="top"/>
    </xf>
    <xf numFmtId="0" fontId="65" fillId="32" borderId="24" applyAlignment="1" pivotButton="0" quotePrefix="0" xfId="0">
      <alignment vertical="top"/>
    </xf>
    <xf numFmtId="0" fontId="54" fillId="32" borderId="20" applyAlignment="1" pivotButton="0" quotePrefix="0" xfId="0">
      <alignment vertical="top"/>
    </xf>
    <xf numFmtId="0" fontId="63" fillId="32" borderId="0" pivotButton="0" quotePrefix="0" xfId="0"/>
    <xf numFmtId="0" fontId="63" fillId="32" borderId="25" pivotButton="0" quotePrefix="0" xfId="0"/>
    <xf numFmtId="0" fontId="63" fillId="32" borderId="26" applyAlignment="1" pivotButton="0" quotePrefix="0" xfId="0">
      <alignment vertical="top"/>
    </xf>
    <xf numFmtId="0" fontId="64" fillId="32" borderId="25" applyAlignment="1" pivotButton="0" quotePrefix="0" xfId="0">
      <alignment vertical="top"/>
    </xf>
    <xf numFmtId="0" fontId="63" fillId="32" borderId="25" applyAlignment="1" pivotButton="0" quotePrefix="0" xfId="0">
      <alignment vertical="top"/>
    </xf>
    <xf numFmtId="0" fontId="54" fillId="32" borderId="0" applyAlignment="1" pivotButton="0" quotePrefix="0" xfId="0">
      <alignment vertical="top"/>
    </xf>
    <xf numFmtId="0" fontId="63" fillId="32" borderId="23" applyAlignment="1" pivotButton="0" quotePrefix="0" xfId="0">
      <alignment vertical="top"/>
    </xf>
    <xf numFmtId="0" fontId="63" fillId="32" borderId="27" applyAlignment="1" pivotButton="0" quotePrefix="0" xfId="0">
      <alignment vertical="top"/>
    </xf>
    <xf numFmtId="0" fontId="63" fillId="32" borderId="28" applyAlignment="1" pivotButton="0" quotePrefix="0" xfId="0">
      <alignment vertical="top"/>
    </xf>
    <xf numFmtId="0" fontId="54" fillId="32" borderId="17" applyAlignment="1" pivotButton="0" quotePrefix="0" xfId="0">
      <alignment vertical="top"/>
    </xf>
    <xf numFmtId="0" fontId="65" fillId="32" borderId="18" applyAlignment="1" pivotButton="0" quotePrefix="0" xfId="0">
      <alignment vertical="top"/>
    </xf>
    <xf numFmtId="0" fontId="65" fillId="32" borderId="29" applyAlignment="1" pivotButton="0" quotePrefix="0" xfId="0">
      <alignment vertical="top"/>
    </xf>
    <xf numFmtId="0" fontId="65" fillId="32" borderId="30" applyAlignment="1" pivotButton="0" quotePrefix="0" xfId="0">
      <alignment vertical="top"/>
    </xf>
    <xf numFmtId="40" fontId="65" fillId="32" borderId="18" applyAlignment="1" pivotButton="0" quotePrefix="0" xfId="0">
      <alignment vertical="top" wrapText="1"/>
    </xf>
    <xf numFmtId="0" fontId="65" fillId="32" borderId="19" applyAlignment="1" pivotButton="0" quotePrefix="0" xfId="0">
      <alignment vertical="top"/>
    </xf>
    <xf numFmtId="0" fontId="65" fillId="32" borderId="26" applyAlignment="1" pivotButton="0" quotePrefix="0" xfId="0">
      <alignment vertical="top"/>
    </xf>
    <xf numFmtId="0" fontId="65" fillId="32" borderId="25" applyAlignment="1" pivotButton="0" quotePrefix="0" xfId="0">
      <alignment vertical="top"/>
    </xf>
    <xf numFmtId="0" fontId="64" fillId="32" borderId="0" applyAlignment="1" pivotButton="0" quotePrefix="0" xfId="0">
      <alignment horizontal="center" vertical="top"/>
    </xf>
    <xf numFmtId="0" fontId="64" fillId="32" borderId="0" applyAlignment="1" pivotButton="0" quotePrefix="0" xfId="0">
      <alignment horizontal="left" vertical="top"/>
    </xf>
    <xf numFmtId="38" fontId="67" fillId="32" borderId="0" applyAlignment="1" pivotButton="0" quotePrefix="0" xfId="0">
      <alignment horizontal="center" vertical="top" wrapText="1"/>
    </xf>
    <xf numFmtId="40" fontId="65" fillId="32" borderId="0" applyAlignment="1" pivotButton="0" quotePrefix="0" xfId="0">
      <alignment vertical="top" wrapText="1"/>
    </xf>
    <xf numFmtId="0" fontId="65" fillId="32" borderId="28" applyAlignment="1" pivotButton="0" quotePrefix="0" xfId="0">
      <alignment vertical="top"/>
    </xf>
    <xf numFmtId="0" fontId="65" fillId="32" borderId="23" applyAlignment="1" pivotButton="0" quotePrefix="0" xfId="0">
      <alignment vertical="top"/>
    </xf>
    <xf numFmtId="40" fontId="65" fillId="32" borderId="23" applyAlignment="1" pivotButton="0" quotePrefix="0" xfId="0">
      <alignment vertical="top" wrapText="1"/>
    </xf>
    <xf numFmtId="0" fontId="64" fillId="32" borderId="23" applyAlignment="1" pivotButton="0" quotePrefix="0" xfId="0">
      <alignment vertical="top"/>
    </xf>
    <xf numFmtId="0" fontId="65" fillId="32" borderId="27" applyAlignment="1" pivotButton="0" quotePrefix="0" xfId="0">
      <alignment vertical="top"/>
    </xf>
    <xf numFmtId="0" fontId="65" fillId="32" borderId="5" applyAlignment="1" pivotButton="0" quotePrefix="0" xfId="0">
      <alignment vertical="top"/>
    </xf>
    <xf numFmtId="40" fontId="65" fillId="32" borderId="0" applyAlignment="1" pivotButton="0" quotePrefix="0" xfId="43">
      <alignment horizontal="left" vertical="top" wrapText="1"/>
    </xf>
    <xf numFmtId="40" fontId="64" fillId="32" borderId="0" applyAlignment="1" pivotButton="0" quotePrefix="0" xfId="43">
      <alignment horizontal="left" vertical="top" wrapText="1"/>
    </xf>
    <xf numFmtId="169" fontId="65" fillId="32" borderId="0" applyAlignment="1" pivotButton="0" quotePrefix="0" xfId="47">
      <alignment horizontal="left" vertical="top"/>
    </xf>
    <xf numFmtId="40" fontId="65" fillId="32" borderId="0" applyAlignment="1" pivotButton="0" quotePrefix="0" xfId="43">
      <alignment horizontal="right" vertical="top" wrapText="1"/>
    </xf>
    <xf numFmtId="0" fontId="63" fillId="32" borderId="0" applyAlignment="1" pivotButton="0" quotePrefix="0" xfId="0">
      <alignment vertical="top" wrapText="1"/>
    </xf>
    <xf numFmtId="0" fontId="54" fillId="32" borderId="31" applyAlignment="1" pivotButton="0" quotePrefix="0" xfId="0">
      <alignment vertical="top"/>
    </xf>
    <xf numFmtId="0" fontId="64" fillId="32" borderId="15" applyAlignment="1" pivotButton="0" quotePrefix="0" xfId="0">
      <alignment vertical="top"/>
    </xf>
    <xf numFmtId="0" fontId="65" fillId="32" borderId="15" applyAlignment="1" pivotButton="0" quotePrefix="0" xfId="0">
      <alignment vertical="top"/>
    </xf>
    <xf numFmtId="0" fontId="65" fillId="32" borderId="32" applyAlignment="1" pivotButton="0" quotePrefix="0" xfId="0">
      <alignment vertical="top"/>
    </xf>
    <xf numFmtId="0" fontId="65" fillId="32" borderId="33" applyAlignment="1" pivotButton="0" quotePrefix="0" xfId="0">
      <alignment vertical="top"/>
    </xf>
    <xf numFmtId="40" fontId="65" fillId="32" borderId="15" applyAlignment="1" pivotButton="0" quotePrefix="0" xfId="0">
      <alignment vertical="top" wrapText="1"/>
    </xf>
    <xf numFmtId="0" fontId="65" fillId="32" borderId="34" applyAlignment="1" pivotButton="0" quotePrefix="0" xfId="0">
      <alignment vertical="top"/>
    </xf>
    <xf numFmtId="0" fontId="65" fillId="32" borderId="35" applyAlignment="1" pivotButton="0" quotePrefix="0" xfId="0">
      <alignment vertical="top"/>
    </xf>
    <xf numFmtId="40" fontId="65" fillId="32" borderId="36" applyAlignment="1" pivotButton="0" quotePrefix="0" xfId="0">
      <alignment vertical="top" wrapText="1"/>
    </xf>
    <xf numFmtId="0" fontId="65" fillId="32" borderId="37" applyAlignment="1" pivotButton="0" quotePrefix="0" xfId="0">
      <alignment vertical="top"/>
    </xf>
    <xf numFmtId="165" fontId="65" fillId="32" borderId="0" applyAlignment="1" pivotButton="0" quotePrefix="0" xfId="43">
      <alignment horizontal="right" vertical="top" wrapText="1"/>
    </xf>
    <xf numFmtId="40" fontId="64" fillId="32" borderId="23" applyAlignment="1" pivotButton="0" quotePrefix="0" xfId="43">
      <alignment horizontal="left" vertical="top" wrapText="1"/>
    </xf>
    <xf numFmtId="0" fontId="53" fillId="32" borderId="20" applyAlignment="1" pivotButton="0" quotePrefix="0" xfId="0">
      <alignment vertical="top"/>
    </xf>
    <xf numFmtId="0" fontId="64" fillId="32" borderId="26" applyAlignment="1" pivotButton="0" quotePrefix="0" xfId="0">
      <alignment vertical="top"/>
    </xf>
    <xf numFmtId="0" fontId="64" fillId="32" borderId="21" applyAlignment="1" pivotButton="0" quotePrefix="0" xfId="0">
      <alignment vertical="top"/>
    </xf>
    <xf numFmtId="3" fontId="64" fillId="32" borderId="0" applyAlignment="1" pivotButton="0" quotePrefix="0" xfId="43">
      <alignment horizontal="right" vertical="top" wrapText="1"/>
    </xf>
    <xf numFmtId="3" fontId="65" fillId="32" borderId="0" applyAlignment="1" pivotButton="0" quotePrefix="0" xfId="0">
      <alignment vertical="top" wrapText="1"/>
    </xf>
    <xf numFmtId="0" fontId="64" fillId="32" borderId="28" applyAlignment="1" pivotButton="0" quotePrefix="0" xfId="0">
      <alignment vertical="top"/>
    </xf>
    <xf numFmtId="3" fontId="65" fillId="32" borderId="23" applyAlignment="1" pivotButton="0" quotePrefix="0" xfId="43">
      <alignment horizontal="right" vertical="top" wrapText="1"/>
    </xf>
    <xf numFmtId="0" fontId="64" fillId="32" borderId="24" applyAlignment="1" pivotButton="0" quotePrefix="0" xfId="0">
      <alignment vertical="top"/>
    </xf>
    <xf numFmtId="0" fontId="64" fillId="32" borderId="0" applyAlignment="1" pivotButton="0" quotePrefix="0" xfId="0">
      <alignment vertical="top" wrapText="1"/>
    </xf>
    <xf numFmtId="0" fontId="61" fillId="32" borderId="0" applyAlignment="1" pivotButton="0" quotePrefix="0" xfId="0">
      <alignment vertical="top" wrapText="1"/>
    </xf>
    <xf numFmtId="39" fontId="64" fillId="32" borderId="0" applyAlignment="1" pivotButton="0" quotePrefix="0" xfId="43">
      <alignment horizontal="right" vertical="top" wrapText="1"/>
    </xf>
    <xf numFmtId="0" fontId="64" fillId="32" borderId="18" applyAlignment="1" pivotButton="0" quotePrefix="0" xfId="0">
      <alignment vertical="top"/>
    </xf>
    <xf numFmtId="0" fontId="55" fillId="32" borderId="20" pivotButton="0" quotePrefix="0" xfId="0"/>
    <xf numFmtId="0" fontId="63" fillId="32" borderId="26" pivotButton="0" quotePrefix="0" xfId="0"/>
    <xf numFmtId="0" fontId="63" fillId="32" borderId="21" pivotButton="0" quotePrefix="0" xfId="0"/>
    <xf numFmtId="0" fontId="64" fillId="32" borderId="26" applyAlignment="1" pivotButton="0" quotePrefix="0" xfId="0">
      <alignment horizontal="center" vertical="top"/>
    </xf>
    <xf numFmtId="0" fontId="64" fillId="32" borderId="25" applyAlignment="1" pivotButton="0" quotePrefix="0" xfId="0">
      <alignment horizontal="center" vertical="top" wrapText="1"/>
    </xf>
    <xf numFmtId="0" fontId="60" fillId="32" borderId="0" applyAlignment="1" pivotButton="0" quotePrefix="0" xfId="0">
      <alignment horizontal="center" vertical="top" wrapText="1"/>
    </xf>
    <xf numFmtId="0" fontId="60" fillId="32" borderId="26" applyAlignment="1" pivotButton="0" quotePrefix="0" xfId="0">
      <alignment horizontal="center" vertical="top" wrapText="1"/>
    </xf>
    <xf numFmtId="0" fontId="63" fillId="32" borderId="0" applyAlignment="1" pivotButton="0" quotePrefix="0" xfId="0">
      <alignment horizontal="center" vertical="top"/>
    </xf>
    <xf numFmtId="0" fontId="63" fillId="32" borderId="21" applyAlignment="1" pivotButton="0" quotePrefix="0" xfId="0">
      <alignment horizontal="center" vertical="top"/>
    </xf>
    <xf numFmtId="0" fontId="64" fillId="32" borderId="25" applyAlignment="1" pivotButton="0" quotePrefix="0" xfId="0">
      <alignment horizontal="center" vertical="top"/>
    </xf>
    <xf numFmtId="0" fontId="51" fillId="32" borderId="17" pivotButton="0" quotePrefix="0" xfId="0"/>
    <xf numFmtId="0" fontId="60" fillId="32" borderId="18" applyAlignment="1" pivotButton="0" quotePrefix="0" xfId="0">
      <alignment horizontal="left" vertical="top" wrapText="1"/>
    </xf>
    <xf numFmtId="0" fontId="63" fillId="32" borderId="18" pivotButton="0" quotePrefix="0" xfId="0"/>
    <xf numFmtId="0" fontId="51" fillId="32" borderId="20" pivotButton="0" quotePrefix="0" xfId="0"/>
    <xf numFmtId="0" fontId="63" fillId="32" borderId="0" applyAlignment="1" pivotButton="0" quotePrefix="0" xfId="135">
      <alignment horizontal="left" vertical="top"/>
    </xf>
    <xf numFmtId="0" fontId="63" fillId="32" borderId="0" pivotButton="0" quotePrefix="0" xfId="135"/>
    <xf numFmtId="0" fontId="51" fillId="32" borderId="0" pivotButton="0" quotePrefix="0" xfId="135"/>
    <xf numFmtId="0" fontId="56" fillId="32" borderId="20" applyAlignment="1" pivotButton="0" quotePrefix="0" xfId="0">
      <alignment vertical="top" wrapText="1"/>
    </xf>
    <xf numFmtId="0" fontId="56" fillId="32" borderId="41" applyAlignment="1" pivotButton="0" quotePrefix="0" xfId="0">
      <alignment vertical="top" wrapText="1"/>
    </xf>
    <xf numFmtId="0" fontId="63" fillId="32" borderId="9" pivotButton="0" quotePrefix="0" xfId="135"/>
    <xf numFmtId="0" fontId="51" fillId="32" borderId="9" pivotButton="0" quotePrefix="0" xfId="135"/>
    <xf numFmtId="0" fontId="65" fillId="32" borderId="42" applyAlignment="1" pivotButton="0" quotePrefix="0" xfId="0">
      <alignment vertical="top"/>
    </xf>
    <xf numFmtId="4" fontId="64" fillId="32" borderId="0" applyAlignment="1" pivotButton="0" quotePrefix="0" xfId="43">
      <alignment horizontal="right" vertical="top" wrapText="1"/>
    </xf>
    <xf numFmtId="4" fontId="65" fillId="32" borderId="0" applyAlignment="1" pivotButton="0" quotePrefix="0" xfId="0">
      <alignment vertical="top" wrapText="1"/>
    </xf>
    <xf numFmtId="4" fontId="69" fillId="32" borderId="43" applyAlignment="1" pivotButton="0" quotePrefix="0" xfId="43">
      <alignment horizontal="right" vertical="top" wrapText="1"/>
    </xf>
    <xf numFmtId="4" fontId="65" fillId="32" borderId="23" applyAlignment="1" pivotButton="0" quotePrefix="0" xfId="43">
      <alignment horizontal="right" vertical="top" wrapText="1"/>
    </xf>
    <xf numFmtId="4" fontId="77" fillId="33" borderId="0" applyAlignment="1" pivotButton="0" quotePrefix="0" xfId="43">
      <alignment horizontal="right" vertical="top" wrapText="1"/>
    </xf>
    <xf numFmtId="0" fontId="76" fillId="33" borderId="0" applyAlignment="1" pivotButton="0" quotePrefix="0" xfId="0">
      <alignment vertical="top"/>
    </xf>
    <xf numFmtId="0" fontId="75" fillId="33" borderId="0" applyAlignment="1" pivotButton="0" quotePrefix="0" xfId="0">
      <alignment vertical="top"/>
    </xf>
    <xf numFmtId="0" fontId="75" fillId="33" borderId="0" applyAlignment="1" pivotButton="0" quotePrefix="1" xfId="0">
      <alignment horizontal="left" vertical="top"/>
    </xf>
    <xf numFmtId="0" fontId="63" fillId="33" borderId="0" applyAlignment="1" pivotButton="0" quotePrefix="0" xfId="0">
      <alignment vertical="top"/>
    </xf>
    <xf numFmtId="0" fontId="63" fillId="33" borderId="0" applyAlignment="1" pivotButton="0" quotePrefix="0" xfId="0">
      <alignment horizontal="left" vertical="top"/>
    </xf>
    <xf numFmtId="0" fontId="76" fillId="33" borderId="0" applyAlignment="1" pivotButton="0" quotePrefix="0" xfId="0">
      <alignment horizontal="left" vertical="top"/>
    </xf>
    <xf numFmtId="170" fontId="63" fillId="33" borderId="0" applyAlignment="1" pivotButton="0" quotePrefix="0" xfId="0">
      <alignment vertical="center"/>
    </xf>
    <xf numFmtId="0" fontId="63" fillId="33" borderId="0" applyAlignment="1" pivotButton="0" quotePrefix="0" xfId="0">
      <alignment vertical="center"/>
    </xf>
    <xf numFmtId="0" fontId="66" fillId="33" borderId="0" applyAlignment="1" pivotButton="0" quotePrefix="0" xfId="0">
      <alignment vertical="top"/>
    </xf>
    <xf numFmtId="170" fontId="63" fillId="33" borderId="5" applyAlignment="1" pivotButton="0" quotePrefix="0" xfId="0">
      <alignment vertical="center"/>
    </xf>
    <xf numFmtId="0" fontId="63" fillId="33" borderId="5" applyAlignment="1" pivotButton="0" quotePrefix="0" xfId="0">
      <alignment vertical="center"/>
    </xf>
    <xf numFmtId="0" fontId="63" fillId="33" borderId="23" pivotButton="0" quotePrefix="0" xfId="0"/>
    <xf numFmtId="0" fontId="65" fillId="32" borderId="28" applyAlignment="1" pivotButton="0" quotePrefix="0" xfId="0">
      <alignment horizontal="center" vertical="top"/>
    </xf>
    <xf numFmtId="0" fontId="65" fillId="32" borderId="23" applyAlignment="1" pivotButton="0" quotePrefix="0" xfId="0">
      <alignment horizontal="center" vertical="top"/>
    </xf>
    <xf numFmtId="0" fontId="65" fillId="32" borderId="24" applyAlignment="1" pivotButton="0" quotePrefix="0" xfId="0">
      <alignment horizontal="center" vertical="top"/>
    </xf>
    <xf numFmtId="0" fontId="64" fillId="32" borderId="0" applyAlignment="1" pivotButton="0" quotePrefix="0" xfId="0">
      <alignment vertical="top" wrapText="1"/>
    </xf>
    <xf numFmtId="0" fontId="61" fillId="32" borderId="0" applyAlignment="1" pivotButton="0" quotePrefix="0" xfId="0">
      <alignment vertical="top" wrapText="1"/>
    </xf>
    <xf numFmtId="0" fontId="64" fillId="32" borderId="0" applyAlignment="1" pivotButton="0" quotePrefix="0" xfId="0">
      <alignment horizontal="center" vertical="top"/>
    </xf>
    <xf numFmtId="0" fontId="64" fillId="32" borderId="26" applyAlignment="1" pivotButton="0" quotePrefix="0" xfId="0">
      <alignment horizontal="center" vertical="top"/>
    </xf>
    <xf numFmtId="0" fontId="64" fillId="32" borderId="25" applyAlignment="1" pivotButton="0" quotePrefix="0" xfId="0">
      <alignment horizontal="center" vertical="top" wrapText="1"/>
    </xf>
    <xf numFmtId="0" fontId="60" fillId="32" borderId="0" applyAlignment="1" pivotButton="0" quotePrefix="0" xfId="0">
      <alignment horizontal="center" vertical="top" wrapText="1"/>
    </xf>
    <xf numFmtId="0" fontId="60" fillId="32" borderId="26" applyAlignment="1" pivotButton="0" quotePrefix="0" xfId="0">
      <alignment horizontal="center" vertical="top" wrapText="1"/>
    </xf>
    <xf numFmtId="0" fontId="63" fillId="32" borderId="0" applyAlignment="1" pivotButton="0" quotePrefix="0" xfId="0">
      <alignment horizontal="center" vertical="top"/>
    </xf>
    <xf numFmtId="0" fontId="63" fillId="32" borderId="21" applyAlignment="1" pivotButton="0" quotePrefix="0" xfId="0">
      <alignment horizontal="center" vertical="top"/>
    </xf>
    <xf numFmtId="0" fontId="64" fillId="32" borderId="25" applyAlignment="1" pivotButton="0" quotePrefix="0" xfId="0">
      <alignment horizontal="center" vertical="top"/>
    </xf>
    <xf numFmtId="0" fontId="64" fillId="32" borderId="0" applyAlignment="1" pivotButton="0" quotePrefix="0" xfId="0">
      <alignment horizontal="center" vertical="top" wrapText="1"/>
    </xf>
    <xf numFmtId="0" fontId="64" fillId="32" borderId="26" applyAlignment="1" pivotButton="0" quotePrefix="0" xfId="0">
      <alignment horizontal="center" vertical="top" wrapText="1"/>
    </xf>
    <xf numFmtId="0" fontId="64" fillId="32" borderId="21" applyAlignment="1" pivotButton="0" quotePrefix="0" xfId="0">
      <alignment horizontal="center" vertical="top"/>
    </xf>
    <xf numFmtId="0" fontId="75" fillId="33" borderId="0" applyAlignment="1" pivotButton="0" quotePrefix="0" xfId="0">
      <alignment horizontal="left" vertical="top" wrapText="1"/>
    </xf>
    <xf numFmtId="0" fontId="63" fillId="33" borderId="0" applyAlignment="1" pivotButton="0" quotePrefix="0" xfId="0">
      <alignment horizontal="left" vertical="top" wrapText="1"/>
    </xf>
    <xf numFmtId="3" fontId="64" fillId="32" borderId="0" applyAlignment="1" pivotButton="0" quotePrefix="0" xfId="43">
      <alignment horizontal="right" vertical="top" wrapText="1"/>
    </xf>
    <xf numFmtId="3" fontId="63" fillId="32" borderId="0" applyAlignment="1" pivotButton="0" quotePrefix="0" xfId="0">
      <alignment vertical="top" wrapText="1"/>
    </xf>
    <xf numFmtId="4" fontId="64" fillId="32" borderId="23" applyAlignment="1" pivotButton="0" quotePrefix="0" xfId="43">
      <alignment horizontal="right" vertical="top" wrapText="1"/>
    </xf>
    <xf numFmtId="4" fontId="63" fillId="32" borderId="23" applyAlignment="1" pivotButton="0" quotePrefix="0" xfId="0">
      <alignment vertical="top" wrapText="1"/>
    </xf>
    <xf numFmtId="40" fontId="65" fillId="32" borderId="0" applyAlignment="1" pivotButton="0" quotePrefix="0" xfId="43">
      <alignment horizontal="right" vertical="top" wrapText="1"/>
    </xf>
    <xf numFmtId="0" fontId="63" fillId="32" borderId="0" applyAlignment="1" pivotButton="0" quotePrefix="0" xfId="0">
      <alignment vertical="top" wrapText="1"/>
    </xf>
    <xf numFmtId="40" fontId="65" fillId="32" borderId="0" applyAlignment="1" pivotButton="0" quotePrefix="1" xfId="0">
      <alignment horizontal="left" vertical="top" wrapText="1"/>
    </xf>
    <xf numFmtId="0" fontId="65" fillId="32" borderId="0" applyAlignment="1" pivotButton="0" quotePrefix="0" xfId="0">
      <alignment horizontal="left" vertical="top" wrapText="1"/>
    </xf>
    <xf numFmtId="0" fontId="65" fillId="32" borderId="26" applyAlignment="1" pivotButton="0" quotePrefix="0" xfId="0">
      <alignment horizontal="left" vertical="top" wrapText="1"/>
    </xf>
    <xf numFmtId="0" fontId="75" fillId="33" borderId="18" applyAlignment="1" pivotButton="0" quotePrefix="0" xfId="0">
      <alignment horizontal="left" vertical="center" wrapText="1"/>
    </xf>
    <xf numFmtId="0" fontId="63" fillId="33" borderId="18" applyAlignment="1" pivotButton="0" quotePrefix="0" xfId="0">
      <alignment horizontal="left" vertical="center" wrapText="1"/>
    </xf>
    <xf numFmtId="0" fontId="63" fillId="33" borderId="29" applyAlignment="1" pivotButton="0" quotePrefix="0" xfId="0">
      <alignment horizontal="left" vertical="center" wrapText="1"/>
    </xf>
    <xf numFmtId="0" fontId="63" fillId="33" borderId="0" applyAlignment="1" pivotButton="0" quotePrefix="0" xfId="0">
      <alignment horizontal="left" vertical="center" wrapText="1"/>
    </xf>
    <xf numFmtId="0" fontId="63" fillId="33" borderId="26" applyAlignment="1" pivotButton="0" quotePrefix="0" xfId="0">
      <alignment horizontal="left" vertical="center" wrapText="1"/>
    </xf>
    <xf numFmtId="0" fontId="60" fillId="32" borderId="0" applyAlignment="1" pivotButton="0" quotePrefix="0" xfId="0">
      <alignment vertical="top" wrapText="1"/>
    </xf>
    <xf numFmtId="4" fontId="64" fillId="33" borderId="0" applyAlignment="1" pivotButton="0" quotePrefix="0" xfId="43">
      <alignment horizontal="right" vertical="top" wrapText="1"/>
    </xf>
    <xf numFmtId="4" fontId="63" fillId="33" borderId="0" applyAlignment="1" pivotButton="0" quotePrefix="0" xfId="0">
      <alignment vertical="top" wrapText="1"/>
    </xf>
    <xf numFmtId="0" fontId="75" fillId="33" borderId="0" applyAlignment="1" pivotButton="0" quotePrefix="0" xfId="0">
      <alignment vertical="top" wrapText="1"/>
    </xf>
    <xf numFmtId="0" fontId="1" fillId="33" borderId="0" applyAlignment="1" pivotButton="0" quotePrefix="0" xfId="0">
      <alignment vertical="top" wrapText="1"/>
    </xf>
    <xf numFmtId="0" fontId="64" fillId="32" borderId="18" applyAlignment="1" pivotButton="0" quotePrefix="0" xfId="0">
      <alignment horizontal="center" vertical="top" wrapText="1"/>
    </xf>
    <xf numFmtId="0" fontId="0" fillId="32" borderId="18" applyAlignment="1" pivotButton="0" quotePrefix="0" xfId="0">
      <alignment horizontal="center" vertical="top" wrapText="1"/>
    </xf>
    <xf numFmtId="0" fontId="68" fillId="0" borderId="0" applyAlignment="1" pivotButton="0" quotePrefix="0" xfId="0">
      <alignment horizontal="center" vertical="center" wrapText="1"/>
    </xf>
    <xf numFmtId="0" fontId="77" fillId="33" borderId="0" applyAlignment="1" pivotButton="0" quotePrefix="0" xfId="0">
      <alignment vertical="top" wrapText="1"/>
    </xf>
    <xf numFmtId="0" fontId="61" fillId="33" borderId="0" applyAlignment="1" pivotButton="0" quotePrefix="0" xfId="0">
      <alignment vertical="top" wrapText="1"/>
    </xf>
    <xf numFmtId="0" fontId="51" fillId="0" borderId="0" applyAlignment="1" pivotButton="0" quotePrefix="0" xfId="0">
      <alignment horizontal="center" vertical="center"/>
    </xf>
    <xf numFmtId="0" fontId="63" fillId="0" borderId="0" applyAlignment="1" pivotButton="0" quotePrefix="0" xfId="0">
      <alignment vertical="top"/>
    </xf>
    <xf numFmtId="0" fontId="63" fillId="0" borderId="0" applyAlignment="1" pivotButton="0" quotePrefix="0" xfId="0">
      <alignment horizontal="left" vertical="top"/>
    </xf>
    <xf numFmtId="0" fontId="75" fillId="0" borderId="0" applyAlignment="1" pivotButton="0" quotePrefix="0" xfId="0">
      <alignment horizontal="left" vertical="top" wrapText="1"/>
    </xf>
    <xf numFmtId="0" fontId="75" fillId="0" borderId="0" applyAlignment="1" pivotButton="0" quotePrefix="0" xfId="0">
      <alignment vertical="top"/>
    </xf>
    <xf numFmtId="0" fontId="76" fillId="0" borderId="0" applyAlignment="1" pivotButton="0" quotePrefix="0" xfId="0">
      <alignment horizontal="left" vertical="top"/>
    </xf>
    <xf numFmtId="170" fontId="63" fillId="0" borderId="0" applyAlignment="1" pivotButton="0" quotePrefix="0" xfId="0">
      <alignment vertical="center"/>
    </xf>
    <xf numFmtId="0" fontId="63" fillId="0" borderId="0" applyAlignment="1" pivotButton="0" quotePrefix="0" xfId="0">
      <alignment vertical="center"/>
    </xf>
    <xf numFmtId="0" fontId="66" fillId="0" borderId="0" applyAlignment="1" pivotButton="0" quotePrefix="0" xfId="0">
      <alignment vertical="top"/>
    </xf>
    <xf numFmtId="170" fontId="63" fillId="0" borderId="5" applyAlignment="1" pivotButton="0" quotePrefix="0" xfId="0">
      <alignment vertical="center"/>
    </xf>
    <xf numFmtId="0" fontId="63" fillId="0" borderId="5" applyAlignment="1" pivotButton="0" quotePrefix="0" xfId="0">
      <alignment vertical="center"/>
    </xf>
    <xf numFmtId="0" fontId="63" fillId="0" borderId="23" pivotButton="0" quotePrefix="0" xfId="0"/>
    <xf numFmtId="0" fontId="76" fillId="0" borderId="0" applyAlignment="1" pivotButton="0" quotePrefix="0" xfId="0">
      <alignment vertical="top"/>
    </xf>
    <xf numFmtId="0" fontId="75" fillId="0" borderId="0" applyAlignment="1" pivotButton="0" quotePrefix="0" xfId="0">
      <alignment vertical="top" wrapText="1"/>
    </xf>
    <xf numFmtId="0" fontId="75" fillId="0" borderId="0" applyAlignment="1" pivotButton="0" quotePrefix="1" xfId="0">
      <alignment horizontal="left" vertical="top"/>
    </xf>
    <xf numFmtId="0" fontId="75" fillId="0" borderId="29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29" pivotButton="0" quotePrefix="0" xfId="0"/>
    <xf numFmtId="0" fontId="0" fillId="0" borderId="26" pivotButton="0" quotePrefix="0" xfId="0"/>
    <xf numFmtId="4" fontId="64" fillId="0" borderId="0" applyAlignment="1" pivotButton="0" quotePrefix="0" xfId="43">
      <alignment horizontal="right" vertical="top" wrapText="1"/>
    </xf>
    <xf numFmtId="0" fontId="0" fillId="0" borderId="23" pivotButton="0" quotePrefix="0" xfId="0"/>
    <xf numFmtId="169" fontId="65" fillId="32" borderId="0" applyAlignment="1" pivotButton="0" quotePrefix="0" xfId="47">
      <alignment horizontal="left" vertical="top"/>
    </xf>
    <xf numFmtId="165" fontId="65" fillId="32" borderId="0" applyAlignment="1" pivotButton="0" quotePrefix="0" xfId="43">
      <alignment horizontal="right" vertical="top" wrapText="1"/>
    </xf>
    <xf numFmtId="0" fontId="77" fillId="0" borderId="0" applyAlignment="1" pivotButton="0" quotePrefix="0" xfId="0">
      <alignment vertical="top" wrapText="1"/>
    </xf>
    <xf numFmtId="4" fontId="77" fillId="0" borderId="0" applyAlignment="1" pivotButton="0" quotePrefix="0" xfId="43">
      <alignment horizontal="right" vertical="top" wrapText="1"/>
    </xf>
    <xf numFmtId="164" fontId="54" fillId="0" borderId="0" applyAlignment="1" pivotButton="0" quotePrefix="0" xfId="0">
      <alignment vertical="top"/>
    </xf>
    <xf numFmtId="0" fontId="64" fillId="32" borderId="45" applyAlignment="1" pivotButton="0" quotePrefix="0" xfId="0">
      <alignment horizontal="center" vertical="top" wrapText="1"/>
    </xf>
    <xf numFmtId="0" fontId="0" fillId="0" borderId="21" pivotButton="0" quotePrefix="0" xfId="0"/>
    <xf numFmtId="0" fontId="64" fillId="32" borderId="47" applyAlignment="1" pivotButton="0" quotePrefix="0" xfId="0">
      <alignment horizontal="center" vertical="top"/>
    </xf>
    <xf numFmtId="0" fontId="65" fillId="32" borderId="46" applyAlignment="1" pivotButton="0" quotePrefix="0" xfId="0">
      <alignment horizontal="center" vertical="top"/>
    </xf>
    <xf numFmtId="0" fontId="0" fillId="0" borderId="24" pivotButton="0" quotePrefix="0" xfId="0"/>
    <xf numFmtId="167" fontId="51" fillId="0" borderId="0" pivotButton="0" quotePrefix="0" xfId="0"/>
    <xf numFmtId="166" fontId="51" fillId="0" borderId="0" pivotButton="0" quotePrefix="0" xfId="0"/>
    <xf numFmtId="167" fontId="51" fillId="34" borderId="0" pivotButton="0" quotePrefix="0" xfId="0"/>
    <xf numFmtId="165" fontId="54" fillId="0" borderId="0" applyAlignment="1" pivotButton="0" quotePrefix="0" xfId="43">
      <alignment horizontal="right" vertical="top" wrapText="1"/>
    </xf>
    <xf numFmtId="165" fontId="0" fillId="0" borderId="0" pivotButton="0" quotePrefix="0" xfId="0"/>
    <xf numFmtId="168" fontId="51" fillId="0" borderId="0" pivotButton="0" quotePrefix="0" xfId="0"/>
  </cellXfs>
  <cellStyles count="136">
    <cellStyle name="常规" xfId="0" builtinId="0"/>
    <cellStyle name="_05_Artemis_95% Estimate_Rev 00_Issued 12_08_05" xfId="1"/>
    <cellStyle name="_05_Artemis_95% Estimate_Rev 00_Issued 12_08_05_FM" xfId="2"/>
    <cellStyle name="_60% Programming Estimate_SS1_Rev 3" xfId="3"/>
    <cellStyle name="_Book2" xfId="4"/>
    <cellStyle name="_Deisgn Gap Vaulations_FM_Rev 0" xfId="5"/>
    <cellStyle name="20% - 着色 1" xfId="6" builtinId="30"/>
    <cellStyle name="20% - 着色 2" xfId="7" builtinId="34"/>
    <cellStyle name="20% - 着色 3" xfId="8" builtinId="38"/>
    <cellStyle name="20% - 着色 4" xfId="9" builtinId="42"/>
    <cellStyle name="20% - 着色 5" xfId="10" builtinId="46"/>
    <cellStyle name="20% - 着色 6" xfId="11" builtinId="50"/>
    <cellStyle name="40% - 着色 1" xfId="12" builtinId="31"/>
    <cellStyle name="40% - 着色 2" xfId="13" builtinId="35"/>
    <cellStyle name="40% - 着色 3" xfId="14" builtinId="39"/>
    <cellStyle name="40% - 着色 4" xfId="15" builtinId="43"/>
    <cellStyle name="40% - 着色 5" xfId="16" builtinId="47"/>
    <cellStyle name="40% - 着色 6" xfId="17" builtinId="51"/>
    <cellStyle name="60% - 着色 1" xfId="18" builtinId="32"/>
    <cellStyle name="60% - 着色 2" xfId="19" builtinId="36"/>
    <cellStyle name="60% - 着色 3" xfId="20" builtinId="40"/>
    <cellStyle name="60% - 着色 4" xfId="21" builtinId="44"/>
    <cellStyle name="60% - 着色 5" xfId="22" builtinId="48"/>
    <cellStyle name="60% - 着色 6" xfId="23" builtinId="52"/>
    <cellStyle name="着色 1" xfId="24" builtinId="29"/>
    <cellStyle name="着色 2" xfId="25" builtinId="33"/>
    <cellStyle name="着色 3" xfId="26" builtinId="37"/>
    <cellStyle name="着色 4" xfId="27" builtinId="41"/>
    <cellStyle name="着色 5" xfId="28" builtinId="45"/>
    <cellStyle name="着色 6" xfId="29" builtinId="49"/>
    <cellStyle name="active" xfId="30"/>
    <cellStyle name="args.style" xfId="31"/>
    <cellStyle name="ÄÞ¸¶ [0]_!!!GO" xfId="32"/>
    <cellStyle name="ÄÞ¸¶_!!!GO" xfId="33"/>
    <cellStyle name="差" xfId="34" builtinId="27"/>
    <cellStyle name="Ç¥ÁØ_!!!GO" xfId="35"/>
    <cellStyle name="Calc Currency (0)" xfId="36"/>
    <cellStyle name="Calc Percent (0)" xfId="37"/>
    <cellStyle name="Calc Percent (1)" xfId="38"/>
    <cellStyle name="计算" xfId="39" builtinId="22"/>
    <cellStyle name="category" xfId="40"/>
    <cellStyle name="检查单元格" xfId="41" builtinId="23"/>
    <cellStyle name="collection" xfId="42"/>
    <cellStyle name="千位分隔" xfId="43" builtinId="3"/>
    <cellStyle name="Comma 2" xfId="44"/>
    <cellStyle name="Comma0" xfId="45"/>
    <cellStyle name="Copied" xfId="46"/>
    <cellStyle name="货币" xfId="47" builtinId="4"/>
    <cellStyle name="Currency 2" xfId="48"/>
    <cellStyle name="Currency0" xfId="49"/>
    <cellStyle name="custom" xfId="50"/>
    <cellStyle name="Date" xfId="51"/>
    <cellStyle name="Dezimal [0]_Compiling Utility Macros" xfId="52"/>
    <cellStyle name="Dezimal_Compiling Utility Macros" xfId="53"/>
    <cellStyle name="Enter Currency (0)" xfId="54"/>
    <cellStyle name="Entered" xfId="55"/>
    <cellStyle name="解释性文本" xfId="56" builtinId="53"/>
    <cellStyle name="Fixed" xfId="57"/>
    <cellStyle name="Forecast" xfId="58"/>
    <cellStyle name="好" xfId="59" builtinId="26"/>
    <cellStyle name="Grey" xfId="60"/>
    <cellStyle name="HEADER" xfId="61"/>
    <cellStyle name="Header1" xfId="62"/>
    <cellStyle name="Header2" xfId="63"/>
    <cellStyle name="标题 1" xfId="64" builtinId="16"/>
    <cellStyle name="标题 2" xfId="65" builtinId="17"/>
    <cellStyle name="标题 3" xfId="66" builtinId="18"/>
    <cellStyle name="标题 4" xfId="67" builtinId="19"/>
    <cellStyle name="HEADINGS" xfId="68"/>
    <cellStyle name="HEADINGSTOP" xfId="69"/>
    <cellStyle name="输入" xfId="70" builtinId="20"/>
    <cellStyle name="Input [yellow]" xfId="71"/>
    <cellStyle name="Input No" xfId="72"/>
    <cellStyle name="Link Currency (0)" xfId="73"/>
    <cellStyle name="链接单元格" xfId="74" builtinId="24"/>
    <cellStyle name="Milliers [0]_!!!GO" xfId="75"/>
    <cellStyle name="Milliers_!!!GO" xfId="76"/>
    <cellStyle name="Model" xfId="77"/>
    <cellStyle name="Monétaire [0]_!!!GO" xfId="78"/>
    <cellStyle name="Monétaire_!!!GO" xfId="79"/>
    <cellStyle name="Needs Work" xfId="80"/>
    <cellStyle name="适中" xfId="81" builtinId="28"/>
    <cellStyle name="New Times Roman" xfId="82"/>
    <cellStyle name="no dec" xfId="83"/>
    <cellStyle name="Normal - Style1" xfId="84"/>
    <cellStyle name="Normal 2" xfId="85"/>
    <cellStyle name="Normal 3" xfId="86"/>
    <cellStyle name="Normal_Interim Valuation 06(R1)" xfId="87"/>
    <cellStyle name="注释" xfId="88" builtinId="10"/>
    <cellStyle name="Œ…‹æØ‚è [0.00]_laroux" xfId="89"/>
    <cellStyle name="Œ…‹æØ‚è_laroux" xfId="90"/>
    <cellStyle name="输出" xfId="91" builtinId="21"/>
    <cellStyle name="per.style" xfId="92"/>
    <cellStyle name="Percent [2]" xfId="93"/>
    <cellStyle name="Percent 2" xfId="94"/>
    <cellStyle name="PrePop Currency (0)" xfId="95"/>
    <cellStyle name="Product" xfId="96"/>
    <cellStyle name="PSChar" xfId="97"/>
    <cellStyle name="PSDate" xfId="98"/>
    <cellStyle name="PSDec" xfId="99"/>
    <cellStyle name="PSHeading" xfId="100"/>
    <cellStyle name="PSInt" xfId="101"/>
    <cellStyle name="PSSpacer" xfId="102"/>
    <cellStyle name="regstoresfromspecstores" xfId="103"/>
    <cellStyle name="RevList" xfId="104"/>
    <cellStyle name="shade" xfId="105"/>
    <cellStyle name="SHADEDSTORES" xfId="106"/>
    <cellStyle name="Shared" xfId="107"/>
    <cellStyle name="specstores" xfId="108"/>
    <cellStyle name="STANDARD" xfId="109"/>
    <cellStyle name="Style 1" xfId="110"/>
    <cellStyle name="subhead" xfId="111"/>
    <cellStyle name="Subtotal" xfId="112"/>
    <cellStyle name="Text Indent A" xfId="113"/>
    <cellStyle name="Text Indent B" xfId="114"/>
    <cellStyle name="标题" xfId="115" builtinId="15"/>
    <cellStyle name="汇总" xfId="116" builtinId="25"/>
    <cellStyle name="Währung [0]_Compiling Utility Macros" xfId="117"/>
    <cellStyle name="Währung_Compiling Utility Macros" xfId="118"/>
    <cellStyle name="警告文本" xfId="119" builtinId="11"/>
    <cellStyle name="桁区切り [0.00]_laroux" xfId="120"/>
    <cellStyle name="桁区切り_laroux" xfId="121"/>
    <cellStyle name="標準_1-97" xfId="122"/>
    <cellStyle name="通貨 [0.00]_laroux" xfId="123"/>
    <cellStyle name="通貨_laroux" xfId="124"/>
    <cellStyle name="표준 2" xfId="125"/>
    <cellStyle name="Calc Percent (0) 2" xfId="126"/>
    <cellStyle name="collection 2" xfId="127"/>
    <cellStyle name="Comma 2 2" xfId="128"/>
    <cellStyle name="Currency 2 2" xfId="129"/>
    <cellStyle name="Currency0 2" xfId="130"/>
    <cellStyle name="Normal 3 2" xfId="131"/>
    <cellStyle name="Percent [2] 2" xfId="132"/>
    <cellStyle name="Percent 2 2" xfId="133"/>
    <cellStyle name="RevList 2" xfId="134"/>
    <cellStyle name="Normal 2 2" xfId="13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Microsoft Office User</author>
    <author>Grace He</author>
  </authors>
  <commentList>
    <comment ref="B2" authorId="0" shapeId="0">
      <text>
        <t>填SC2即可</t>
      </text>
    </comment>
    <comment ref="B3" authorId="0" shapeId="0">
      <text>
        <t>填Div 166/183/etc</t>
      </text>
    </comment>
    <comment ref="B4" authorId="0" shapeId="0">
      <text>
        <t xml:space="preserve">供应商名字
</t>
      </text>
    </comment>
    <comment ref="B5" authorId="0" shapeId="0">
      <text>
        <t>GC</t>
      </text>
    </comment>
    <comment ref="B6" authorId="0" shapeId="0">
      <text>
        <t>供应商编号 (PO上可找到）</t>
      </text>
    </comment>
    <comment ref="B7" authorId="0" shapeId="0">
      <text>
        <t>PO 编号</t>
      </text>
    </comment>
    <comment ref="B8" authorId="0" shapeId="0">
      <text>
        <t>PO 金额</t>
      </text>
    </comment>
    <comment ref="B9" authorId="0" shapeId="0">
      <text>
        <t>合同总价</t>
      </text>
    </comment>
    <comment ref="B11" authorId="0" shapeId="0">
      <text>
        <t>供应商联系人信息</t>
      </text>
    </comment>
    <comment ref="K12" authorId="0" shapeId="0">
      <text>
        <t>供应商公司地址</t>
      </text>
    </comment>
    <comment ref="B19" authorId="0" shapeId="0">
      <text>
        <t>苹果公司 div 166 或183 名字全称 (PO 上可找到）</t>
      </text>
    </comment>
    <comment ref="B22" authorId="0" shapeId="0">
      <text>
        <t>付款节点</t>
      </text>
    </comment>
    <comment ref="P23" authorId="0" shapeId="0">
      <text>
        <t>周期</t>
      </text>
    </comment>
    <comment ref="I29" authorId="0" shapeId="0">
      <text>
        <t>合同总价</t>
      </text>
    </comment>
    <comment ref="B37" authorId="1" shapeId="0">
      <text>
        <t>请款节点</t>
      </text>
    </comment>
    <comment ref="Q37" authorId="1" shapeId="0">
      <text>
        <t>请款金额</t>
      </text>
    </comment>
    <comment ref="Q41" authorId="0" shapeId="0">
      <text>
        <t>已付款金额，如初次申请则为0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2">
    <outlinePr summaryBelow="1" summaryRight="1"/>
    <pageSetUpPr fitToPage="1"/>
  </sheetPr>
  <dimension ref="A1:IW66"/>
  <sheetViews>
    <sheetView tabSelected="1" view="pageBreakPreview" topLeftCell="A25" zoomScaleSheetLayoutView="100" workbookViewId="0">
      <selection activeCell="B22" sqref="B22:N25"/>
    </sheetView>
  </sheetViews>
  <sheetFormatPr baseColWidth="8" defaultColWidth="8.85546875" defaultRowHeight="12"/>
  <cols>
    <col width="0.85546875" customWidth="1" style="1" min="1" max="1"/>
    <col width="33.42578125" customWidth="1" style="1" min="2" max="2"/>
    <col width="21.42578125" customWidth="1" style="1" min="3" max="3"/>
    <col width="11.7109375" customWidth="1" style="1" min="4" max="4"/>
    <col width="0.85546875" customWidth="1" style="1" min="5" max="6"/>
    <col width="5.7109375" customWidth="1" style="1" min="7" max="7"/>
    <col width="5.85546875" customWidth="1" style="1" min="8" max="8"/>
    <col width="0.85546875" customWidth="1" style="1" min="9" max="10"/>
    <col width="2.7109375" customWidth="1" style="1" min="11" max="11"/>
    <col width="5.7109375" customWidth="1" style="1" min="12" max="12"/>
    <col width="7.85546875" customWidth="1" style="1" min="13" max="13"/>
    <col width="0.85546875" customWidth="1" style="1" min="14" max="15"/>
    <col width="1.7109375" customWidth="1" style="1" min="16" max="16"/>
    <col width="33.28515625" customWidth="1" style="4" min="17" max="17"/>
    <col width="3" customWidth="1" style="1" min="18" max="19"/>
    <col width="10" customWidth="1" style="1" min="20" max="20"/>
    <col width="9.85546875" bestFit="1" customWidth="1" style="1" min="21" max="21"/>
    <col width="8.85546875" customWidth="1" style="1" min="22" max="22"/>
    <col width="8.85546875" customWidth="1" style="1" min="23" max="16384"/>
  </cols>
  <sheetData>
    <row r="1" ht="50.1" customFormat="1" customHeight="1" s="10">
      <c r="A1" s="35" t="n"/>
      <c r="B1" s="36" t="inlineStr">
        <is>
          <t>PAYMENT NO: 2</t>
        </is>
      </c>
      <c r="C1" s="37" t="n"/>
      <c r="D1" s="37" t="n"/>
      <c r="E1" s="38" t="n"/>
      <c r="F1" s="38" t="n"/>
      <c r="G1" s="38" t="n"/>
      <c r="H1" s="37" t="n"/>
      <c r="I1" s="39" t="n"/>
      <c r="J1" s="39" t="n"/>
      <c r="K1" s="39" t="n"/>
      <c r="L1" s="39" t="n"/>
      <c r="M1" s="39" t="n"/>
      <c r="N1" s="39" t="n"/>
      <c r="O1" s="39" t="n"/>
      <c r="P1" s="39" t="n"/>
      <c r="Q1" s="40" t="n"/>
      <c r="R1" s="41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9" t="n"/>
      <c r="CY1" s="9" t="n"/>
      <c r="CZ1" s="9" t="n"/>
      <c r="DA1" s="9" t="n"/>
      <c r="DB1" s="9" t="n"/>
      <c r="DC1" s="9" t="n"/>
      <c r="DD1" s="9" t="n"/>
      <c r="DE1" s="9" t="n"/>
      <c r="DF1" s="9" t="n"/>
      <c r="DG1" s="9" t="n"/>
      <c r="DH1" s="9" t="n"/>
      <c r="DI1" s="9" t="n"/>
      <c r="DJ1" s="9" t="n"/>
      <c r="DK1" s="9" t="n"/>
      <c r="DL1" s="9" t="n"/>
      <c r="DM1" s="9" t="n"/>
      <c r="DN1" s="9" t="n"/>
      <c r="DO1" s="9" t="n"/>
      <c r="DP1" s="9" t="n"/>
      <c r="DQ1" s="9" t="n"/>
      <c r="DR1" s="9" t="n"/>
      <c r="DS1" s="9" t="n"/>
      <c r="DT1" s="9" t="n"/>
      <c r="DU1" s="9" t="n"/>
      <c r="DV1" s="9" t="n"/>
      <c r="DW1" s="9" t="n"/>
      <c r="DX1" s="9" t="n"/>
      <c r="DY1" s="9" t="n"/>
      <c r="DZ1" s="9" t="n"/>
      <c r="EA1" s="9" t="n"/>
      <c r="EB1" s="9" t="n"/>
      <c r="EC1" s="9" t="n"/>
      <c r="ED1" s="9" t="n"/>
      <c r="EE1" s="9" t="n"/>
      <c r="EF1" s="9" t="n"/>
      <c r="EG1" s="9" t="n"/>
      <c r="EH1" s="9" t="n"/>
      <c r="EI1" s="9" t="n"/>
      <c r="EJ1" s="9" t="n"/>
      <c r="EK1" s="9" t="n"/>
      <c r="EL1" s="9" t="n"/>
      <c r="EM1" s="9" t="n"/>
      <c r="EN1" s="9" t="n"/>
      <c r="EO1" s="9" t="n"/>
      <c r="EP1" s="9" t="n"/>
      <c r="EQ1" s="9" t="n"/>
      <c r="ER1" s="9" t="n"/>
      <c r="ES1" s="9" t="n"/>
      <c r="ET1" s="9" t="n"/>
      <c r="EU1" s="9" t="n"/>
      <c r="EV1" s="9" t="n"/>
      <c r="EW1" s="9" t="n"/>
      <c r="EX1" s="9" t="n"/>
      <c r="EY1" s="9" t="n"/>
      <c r="EZ1" s="9" t="n"/>
      <c r="FA1" s="9" t="n"/>
      <c r="FB1" s="9" t="n"/>
      <c r="FC1" s="9" t="n"/>
      <c r="FD1" s="9" t="n"/>
      <c r="FE1" s="9" t="n"/>
      <c r="FF1" s="9" t="n"/>
      <c r="FG1" s="9" t="n"/>
      <c r="FH1" s="9" t="n"/>
      <c r="FI1" s="9" t="n"/>
      <c r="FJ1" s="9" t="n"/>
      <c r="FK1" s="9" t="n"/>
      <c r="FL1" s="9" t="n"/>
      <c r="FM1" s="9" t="n"/>
      <c r="FN1" s="9" t="n"/>
      <c r="FO1" s="9" t="n"/>
      <c r="FP1" s="9" t="n"/>
      <c r="FQ1" s="9" t="n"/>
      <c r="FR1" s="9" t="n"/>
      <c r="FS1" s="9" t="n"/>
      <c r="FT1" s="9" t="n"/>
      <c r="FU1" s="9" t="n"/>
      <c r="FV1" s="9" t="n"/>
      <c r="FW1" s="9" t="n"/>
      <c r="FX1" s="9" t="n"/>
      <c r="FY1" s="9" t="n"/>
      <c r="FZ1" s="9" t="n"/>
      <c r="GA1" s="9" t="n"/>
      <c r="GB1" s="9" t="n"/>
      <c r="GC1" s="9" t="n"/>
      <c r="GD1" s="9" t="n"/>
      <c r="GE1" s="9" t="n"/>
      <c r="GF1" s="9" t="n"/>
      <c r="GG1" s="9" t="n"/>
      <c r="GH1" s="9" t="n"/>
      <c r="GI1" s="9" t="n"/>
      <c r="GJ1" s="9" t="n"/>
      <c r="GK1" s="9" t="n"/>
      <c r="GL1" s="9" t="n"/>
      <c r="GM1" s="9" t="n"/>
      <c r="GN1" s="9" t="n"/>
      <c r="GO1" s="9" t="n"/>
      <c r="GP1" s="9" t="n"/>
      <c r="GQ1" s="9" t="n"/>
      <c r="GR1" s="9" t="n"/>
      <c r="GS1" s="9" t="n"/>
      <c r="GT1" s="9" t="n"/>
      <c r="GU1" s="9" t="n"/>
      <c r="GV1" s="9" t="n"/>
      <c r="GW1" s="9" t="n"/>
      <c r="GX1" s="9" t="n"/>
      <c r="GY1" s="9" t="n"/>
      <c r="GZ1" s="9" t="n"/>
      <c r="HA1" s="9" t="n"/>
      <c r="HB1" s="9" t="n"/>
      <c r="HC1" s="9" t="n"/>
      <c r="HD1" s="9" t="n"/>
      <c r="HE1" s="9" t="n"/>
      <c r="HF1" s="9" t="n"/>
      <c r="HG1" s="9" t="n"/>
      <c r="HH1" s="9" t="n"/>
      <c r="HI1" s="9" t="n"/>
      <c r="HJ1" s="9" t="n"/>
      <c r="HK1" s="9" t="n"/>
      <c r="HL1" s="9" t="n"/>
      <c r="HM1" s="9" t="n"/>
      <c r="HN1" s="9" t="n"/>
      <c r="HO1" s="9" t="n"/>
      <c r="HP1" s="9" t="n"/>
      <c r="HQ1" s="9" t="n"/>
      <c r="HR1" s="9" t="n"/>
      <c r="HS1" s="9" t="n"/>
      <c r="HT1" s="9" t="n"/>
      <c r="HU1" s="9" t="n"/>
      <c r="HV1" s="9" t="n"/>
      <c r="HW1" s="9" t="n"/>
      <c r="HX1" s="9" t="n"/>
      <c r="HY1" s="9" t="n"/>
      <c r="HZ1" s="9" t="n"/>
      <c r="IA1" s="9" t="n"/>
      <c r="IB1" s="9" t="n"/>
      <c r="IC1" s="9" t="n"/>
      <c r="ID1" s="9" t="n"/>
      <c r="IE1" s="9" t="n"/>
      <c r="IF1" s="9" t="n"/>
      <c r="IG1" s="9" t="n"/>
      <c r="IH1" s="9" t="n"/>
      <c r="II1" s="9" t="n"/>
      <c r="IJ1" s="9" t="n"/>
      <c r="IK1" s="9" t="n"/>
      <c r="IL1" s="9" t="n"/>
      <c r="IM1" s="9" t="n"/>
      <c r="IN1" s="9" t="n"/>
      <c r="IO1" s="9" t="n"/>
      <c r="IP1" s="9" t="n"/>
      <c r="IQ1" s="9" t="n"/>
      <c r="IR1" s="9" t="n"/>
      <c r="IS1" s="9" t="n"/>
      <c r="IT1" s="9" t="n"/>
      <c r="IU1" s="9" t="n"/>
      <c r="IV1" s="9" t="n"/>
      <c r="IW1" s="9" t="n"/>
    </row>
    <row r="2" ht="15" customHeight="1">
      <c r="A2" s="42" t="n"/>
      <c r="B2" s="32" t="inlineStr">
        <is>
          <t xml:space="preserve">Project: </t>
        </is>
      </c>
      <c r="C2" s="186" t="inlineStr">
        <is>
          <t>Apple SARL Phase 5</t>
        </is>
      </c>
      <c r="D2" s="186" t="n"/>
      <c r="E2" s="186" t="n"/>
      <c r="F2" s="186" t="n"/>
      <c r="G2" s="186" t="n"/>
      <c r="H2" s="186" t="n"/>
      <c r="I2" s="186" t="n"/>
      <c r="J2" s="186" t="n"/>
      <c r="K2" s="186" t="n"/>
      <c r="L2" s="186" t="n"/>
      <c r="M2" s="186" t="n"/>
      <c r="N2" s="186" t="n"/>
      <c r="O2" s="186" t="n"/>
      <c r="P2" s="186" t="n"/>
      <c r="Q2" s="186" t="n"/>
      <c r="R2" s="43" t="n"/>
    </row>
    <row r="3" ht="15" customHeight="1">
      <c r="A3" s="42" t="n"/>
      <c r="B3" s="32" t="inlineStr">
        <is>
          <t>Division:</t>
        </is>
      </c>
      <c r="C3" s="187" t="inlineStr">
        <is>
          <t>212-4</t>
        </is>
      </c>
      <c r="D3" s="186" t="n"/>
      <c r="E3" s="186" t="n"/>
      <c r="F3" s="186" t="n"/>
      <c r="G3" s="186" t="n"/>
      <c r="H3" s="186" t="n"/>
      <c r="I3" s="186" t="n"/>
      <c r="J3" s="186" t="n"/>
      <c r="K3" s="186" t="n"/>
      <c r="L3" s="186" t="n"/>
      <c r="M3" s="186" t="n"/>
      <c r="N3" s="186" t="n"/>
      <c r="O3" s="186" t="n"/>
      <c r="P3" s="186" t="n"/>
      <c r="Q3" s="186" t="n"/>
      <c r="R3" s="43" t="n"/>
    </row>
    <row r="4" ht="15" customHeight="1">
      <c r="A4" s="42" t="n"/>
      <c r="B4" s="34" t="inlineStr">
        <is>
          <t xml:space="preserve">Vendor: </t>
        </is>
      </c>
      <c r="C4" s="188" t="inlineStr">
        <is>
          <t>Schneider</t>
        </is>
      </c>
      <c r="R4" s="43" t="n"/>
    </row>
    <row r="5" ht="15" customHeight="1">
      <c r="A5" s="42" t="n"/>
      <c r="B5" s="34" t="inlineStr">
        <is>
          <t>Work Package:</t>
        </is>
      </c>
      <c r="C5" s="189" t="inlineStr">
        <is>
          <t>BMS</t>
        </is>
      </c>
      <c r="D5" s="186" t="n"/>
      <c r="E5" s="186" t="n"/>
      <c r="F5" s="186" t="n"/>
      <c r="G5" s="186" t="n"/>
      <c r="H5" s="186" t="n"/>
      <c r="I5" s="186" t="n"/>
      <c r="J5" s="186" t="n"/>
      <c r="K5" s="186" t="n"/>
      <c r="L5" s="186" t="n"/>
      <c r="M5" s="186" t="n"/>
      <c r="N5" s="186" t="n"/>
      <c r="O5" s="186" t="n"/>
      <c r="P5" s="186" t="n"/>
      <c r="Q5" s="186" t="n"/>
      <c r="R5" s="43" t="n"/>
    </row>
    <row r="6" ht="15" customHeight="1">
      <c r="A6" s="42" t="n"/>
      <c r="B6" s="44" t="inlineStr">
        <is>
          <t xml:space="preserve">Vendor Reference Number: </t>
        </is>
      </c>
      <c r="C6" s="190" t="inlineStr">
        <is>
          <t>VEN-001</t>
        </is>
      </c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43" t="n"/>
    </row>
    <row r="7" ht="15" customHeight="1">
      <c r="A7" s="42" t="n"/>
      <c r="B7" s="32" t="inlineStr">
        <is>
          <t xml:space="preserve">PO Number : </t>
        </is>
      </c>
      <c r="C7" s="187" t="inlineStr">
        <is>
          <t>PO-TEST-001</t>
        </is>
      </c>
      <c r="D7" s="186" t="n"/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6" t="n"/>
      <c r="O7" s="186" t="n"/>
      <c r="P7" s="186" t="n"/>
      <c r="Q7" s="186" t="n"/>
      <c r="R7" s="43" t="n"/>
    </row>
    <row r="8" ht="17.1" customHeight="1">
      <c r="A8" s="42" t="n"/>
      <c r="B8" s="32" t="inlineStr">
        <is>
          <t>PO Value:</t>
        </is>
      </c>
      <c r="C8" s="191" t="n">
        <v>1000000</v>
      </c>
      <c r="D8" s="192" t="inlineStr">
        <is>
          <t>(CNY exclude 9% VAT)</t>
        </is>
      </c>
      <c r="E8" s="192" t="n"/>
      <c r="F8" s="192" t="n"/>
      <c r="G8" s="192" t="n"/>
      <c r="H8" s="192" t="n"/>
      <c r="I8" s="192" t="n"/>
      <c r="J8" s="186" t="n"/>
      <c r="K8" s="186" t="n"/>
      <c r="L8" s="186" t="n"/>
      <c r="M8" s="193" t="n"/>
      <c r="N8" s="186" t="n"/>
      <c r="O8" s="186" t="n"/>
      <c r="P8" s="186" t="n"/>
      <c r="Q8" s="186" t="n"/>
      <c r="R8" s="43" t="n"/>
    </row>
    <row r="9" ht="17.1" customHeight="1">
      <c r="A9" s="45" t="n"/>
      <c r="B9" s="72" t="inlineStr">
        <is>
          <t xml:space="preserve">Contract Value: </t>
        </is>
      </c>
      <c r="C9" s="194" t="n">
        <v>1000000</v>
      </c>
      <c r="D9" s="195" t="inlineStr">
        <is>
          <t>(CNY exclude 9% VAT)</t>
        </is>
      </c>
      <c r="E9" s="195" t="n"/>
      <c r="F9" s="195" t="n"/>
      <c r="G9" s="195" t="n"/>
      <c r="H9" s="195" t="n"/>
      <c r="I9" s="195" t="n"/>
      <c r="J9" s="196" t="n"/>
      <c r="K9" s="196" t="n"/>
      <c r="L9" s="196" t="n"/>
      <c r="M9" s="196" t="n"/>
      <c r="N9" s="196" t="n"/>
      <c r="O9" s="196" t="n"/>
      <c r="P9" s="196" t="n"/>
      <c r="Q9" s="196" t="n"/>
      <c r="R9" s="46" t="n"/>
    </row>
    <row r="10" ht="6" customHeight="1">
      <c r="A10" s="47" t="n"/>
      <c r="B10" s="44" t="n"/>
      <c r="C10" s="48" t="n"/>
      <c r="D10" s="48" t="n"/>
      <c r="E10" s="48" t="n"/>
      <c r="F10" s="48" t="n"/>
      <c r="G10" s="48" t="n"/>
      <c r="H10" s="48" t="n"/>
      <c r="I10" s="48" t="n"/>
      <c r="J10" s="49" t="n"/>
      <c r="K10" s="48" t="n"/>
      <c r="L10" s="48" t="n"/>
      <c r="M10" s="48" t="n"/>
      <c r="N10" s="48" t="n"/>
      <c r="O10" s="48" t="n"/>
      <c r="P10" s="48" t="n"/>
      <c r="Q10" s="48" t="n"/>
      <c r="R10" s="43" t="n"/>
    </row>
    <row r="11" ht="15" customHeight="1">
      <c r="A11" s="47" t="n"/>
      <c r="B11" s="34" t="inlineStr">
        <is>
          <t xml:space="preserve">Vendor: </t>
        </is>
      </c>
      <c r="C11" s="197" t="inlineStr">
        <is>
          <t>Schneider</t>
        </is>
      </c>
      <c r="D11" s="33" t="n"/>
      <c r="E11" s="33" t="n"/>
      <c r="F11" s="33" t="n"/>
      <c r="G11" s="33" t="n"/>
      <c r="H11" s="33" t="n"/>
      <c r="I11" s="50" t="n"/>
      <c r="J11" s="51" t="n"/>
      <c r="K11" s="175" t="inlineStr">
        <is>
          <t>Office Address:</t>
        </is>
      </c>
      <c r="R11" s="43" t="n"/>
    </row>
    <row r="12" ht="15" customHeight="1">
      <c r="A12" s="47" t="n"/>
      <c r="B12" s="34" t="inlineStr">
        <is>
          <t xml:space="preserve">Contact Point: </t>
        </is>
      </c>
      <c r="C12" s="189" t="inlineStr">
        <is>
          <t>张三</t>
        </is>
      </c>
      <c r="D12" s="33" t="n"/>
      <c r="E12" s="33" t="n"/>
      <c r="F12" s="33" t="n"/>
      <c r="G12" s="33" t="n"/>
      <c r="H12" s="33" t="n"/>
      <c r="I12" s="50" t="n"/>
      <c r="J12" s="52" t="n"/>
      <c r="K12" s="198" t="inlineStr">
        <is>
          <t>北京示例地址</t>
        </is>
      </c>
      <c r="R12" s="43" t="n"/>
    </row>
    <row r="13" ht="14.25" customHeight="1">
      <c r="A13" s="47" t="n"/>
      <c r="B13" s="34" t="inlineStr">
        <is>
          <t xml:space="preserve">Contact Number: </t>
        </is>
      </c>
      <c r="C13" s="199" t="inlineStr">
        <is>
          <t>13800000000</t>
        </is>
      </c>
      <c r="D13" s="53" t="n"/>
      <c r="E13" s="53" t="n"/>
      <c r="F13" s="53" t="n"/>
      <c r="G13" s="53" t="n"/>
      <c r="H13" s="33" t="n"/>
      <c r="I13" s="50" t="n"/>
      <c r="J13" s="52" t="n"/>
      <c r="R13" s="43" t="n"/>
    </row>
    <row r="14" ht="17.1" customHeight="1">
      <c r="A14" s="47" t="n"/>
      <c r="B14" s="34" t="inlineStr">
        <is>
          <t xml:space="preserve">Office: </t>
        </is>
      </c>
      <c r="C14" s="189" t="inlineStr">
        <is>
          <t>010-8888</t>
        </is>
      </c>
      <c r="D14" s="33" t="n"/>
      <c r="E14" s="33" t="n"/>
      <c r="F14" s="33" t="n"/>
      <c r="G14" s="33" t="n"/>
      <c r="H14" s="33" t="n"/>
      <c r="I14" s="50" t="n"/>
      <c r="J14" s="52" t="n"/>
      <c r="R14" s="43" t="n"/>
    </row>
    <row r="15" ht="12" customHeight="1">
      <c r="A15" s="47" t="n"/>
      <c r="B15" s="44" t="n"/>
      <c r="C15" s="33" t="n"/>
      <c r="D15" s="33" t="n"/>
      <c r="E15" s="33" t="n"/>
      <c r="F15" s="33" t="n"/>
      <c r="G15" s="33" t="n"/>
      <c r="H15" s="33" t="n"/>
      <c r="I15" s="50" t="n"/>
      <c r="J15" s="52" t="n"/>
      <c r="R15" s="43" t="n"/>
    </row>
    <row r="16" ht="6" customHeight="1">
      <c r="A16" s="47" t="n"/>
      <c r="B16" s="54" t="n"/>
      <c r="C16" s="54" t="n"/>
      <c r="D16" s="54" t="n"/>
      <c r="E16" s="54" t="n"/>
      <c r="F16" s="54" t="n"/>
      <c r="G16" s="54" t="n"/>
      <c r="H16" s="54" t="n"/>
      <c r="I16" s="55" t="n"/>
      <c r="J16" s="56" t="n"/>
      <c r="K16" s="54" t="n"/>
      <c r="L16" s="54" t="n"/>
      <c r="M16" s="54" t="n"/>
      <c r="N16" s="54" t="n"/>
      <c r="O16" s="54" t="n"/>
      <c r="P16" s="54" t="n"/>
      <c r="Q16" s="54" t="n"/>
      <c r="R16" s="43" t="n"/>
    </row>
    <row r="17" ht="6" customHeight="1">
      <c r="A17" s="57" t="n"/>
      <c r="B17" s="58" t="n"/>
      <c r="C17" s="58" t="n"/>
      <c r="D17" s="58" t="n"/>
      <c r="E17" s="58" t="n"/>
      <c r="F17" s="58" t="n"/>
      <c r="G17" s="58" t="n"/>
      <c r="H17" s="58" t="n"/>
      <c r="I17" s="58" t="n"/>
      <c r="J17" s="58" t="n"/>
      <c r="K17" s="58" t="n"/>
      <c r="L17" s="58" t="n"/>
      <c r="M17" s="58" t="n"/>
      <c r="N17" s="59" t="n"/>
      <c r="O17" s="60" t="n"/>
      <c r="P17" s="58" t="n"/>
      <c r="Q17" s="61" t="n"/>
      <c r="R17" s="62" t="n"/>
    </row>
    <row r="18" ht="13.5" customHeight="1">
      <c r="A18" s="47" t="n"/>
      <c r="B18" s="44" t="inlineStr">
        <is>
          <t>Division:</t>
        </is>
      </c>
      <c r="C18" s="44" t="n"/>
      <c r="D18" s="44" t="n"/>
      <c r="E18" s="44" t="n"/>
      <c r="F18" s="44" t="n"/>
      <c r="G18" s="44" t="n"/>
      <c r="H18" s="44" t="n"/>
      <c r="I18" s="44" t="n"/>
      <c r="J18" s="44" t="n"/>
      <c r="K18" s="44" t="n"/>
      <c r="L18" s="44" t="n"/>
      <c r="M18" s="44" t="n"/>
      <c r="N18" s="63" t="n"/>
      <c r="O18" s="64" t="n"/>
      <c r="P18" s="44" t="n"/>
      <c r="Q18" s="148" t="inlineStr">
        <is>
          <t>Payment Claim No.</t>
        </is>
      </c>
      <c r="R18" s="43" t="n"/>
    </row>
    <row r="19" ht="23.25" customHeight="1">
      <c r="A19" s="47" t="n"/>
      <c r="B19" s="32" t="n">
        <v>212</v>
      </c>
      <c r="C19" s="44" t="inlineStr">
        <is>
          <t>Apple R&amp;D (Beijing) Limited</t>
        </is>
      </c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63" t="n"/>
      <c r="O19" s="64" t="n"/>
      <c r="P19" s="66" t="n"/>
      <c r="Q19" s="67" t="n">
        <v>2</v>
      </c>
      <c r="R19" s="43" t="n"/>
    </row>
    <row r="20" ht="14.1" customHeight="1">
      <c r="A20" s="47" t="n"/>
      <c r="B20" s="32" t="n"/>
      <c r="C20" s="44" t="n"/>
      <c r="D20" s="44" t="n"/>
      <c r="E20" s="44" t="n"/>
      <c r="F20" s="44" t="n"/>
      <c r="G20" s="44" t="n"/>
      <c r="H20" s="44" t="n"/>
      <c r="I20" s="44" t="n"/>
      <c r="J20" s="44" t="n"/>
      <c r="K20" s="44" t="n"/>
      <c r="L20" s="44" t="n"/>
      <c r="M20" s="44" t="n"/>
      <c r="N20" s="63" t="n"/>
      <c r="O20" s="64" t="n"/>
      <c r="P20" s="32" t="n"/>
      <c r="Q20" s="68" t="n"/>
      <c r="R20" s="43" t="n"/>
    </row>
    <row r="21" ht="14.1" customHeight="1">
      <c r="A21" s="47" t="n"/>
      <c r="B21" s="44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63" t="n"/>
      <c r="O21" s="69" t="n"/>
      <c r="P21" s="70" t="n"/>
      <c r="Q21" s="71" t="n"/>
      <c r="R21" s="46" t="n"/>
    </row>
    <row r="22" ht="13.5" customHeight="1">
      <c r="A22" s="47" t="n"/>
      <c r="B22" s="200" t="inlineStr">
        <is>
          <t>1. 预付款 10%
2. 到货 30%
3. 验收 60%</t>
        </is>
      </c>
      <c r="C22" s="201" t="n"/>
      <c r="D22" s="201" t="n"/>
      <c r="E22" s="201" t="n"/>
      <c r="F22" s="201" t="n"/>
      <c r="G22" s="201" t="n"/>
      <c r="H22" s="201" t="n"/>
      <c r="I22" s="201" t="n"/>
      <c r="J22" s="201" t="n"/>
      <c r="K22" s="201" t="n"/>
      <c r="L22" s="201" t="n"/>
      <c r="M22" s="201" t="n"/>
      <c r="N22" s="202" t="n"/>
      <c r="O22" s="64" t="n"/>
      <c r="P22" s="180" t="inlineStr">
        <is>
          <t xml:space="preserve">Period </t>
        </is>
      </c>
      <c r="Q22" s="201" t="n"/>
      <c r="R22" s="43" t="n"/>
    </row>
    <row r="23" ht="12" customHeight="1">
      <c r="A23" s="47" t="n"/>
      <c r="N23" s="203" t="n"/>
      <c r="O23" s="64" t="n"/>
      <c r="P23" s="182" t="n">
        <v>1</v>
      </c>
      <c r="R23" s="43" t="n"/>
    </row>
    <row r="24" ht="3.75" customHeight="1">
      <c r="A24" s="47" t="n"/>
      <c r="N24" s="203" t="n"/>
      <c r="O24" s="64" t="n"/>
      <c r="R24" s="43" t="n"/>
    </row>
    <row r="25" ht="26.25" customHeight="1">
      <c r="A25" s="47" t="n"/>
      <c r="N25" s="203" t="n"/>
      <c r="O25" s="64" t="n"/>
      <c r="R25" s="43" t="n"/>
    </row>
    <row r="26" ht="318.95" customHeight="1">
      <c r="A26" s="45" t="n"/>
      <c r="B26" s="72" t="n"/>
      <c r="C26" s="72" t="n"/>
      <c r="D26" s="72" t="n"/>
      <c r="E26" s="72" t="n"/>
      <c r="F26" s="72" t="n"/>
      <c r="G26" s="72" t="n"/>
      <c r="H26" s="72" t="n"/>
      <c r="I26" s="72" t="n"/>
      <c r="J26" s="72" t="n"/>
      <c r="K26" s="72" t="n"/>
      <c r="L26" s="72" t="n"/>
      <c r="M26" s="72" t="n"/>
      <c r="N26" s="73" t="n"/>
      <c r="O26" s="64" t="n"/>
      <c r="P26" s="44" t="n"/>
      <c r="Q26" s="68" t="n"/>
      <c r="R26" s="43" t="n"/>
    </row>
    <row r="27" ht="6" customHeight="1">
      <c r="A27" s="57" t="n"/>
      <c r="B27" s="58" t="n"/>
      <c r="C27" s="58" t="n"/>
      <c r="D27" s="74" t="n"/>
      <c r="E27" s="74" t="n"/>
      <c r="F27" s="74" t="n"/>
      <c r="G27" s="74" t="n"/>
      <c r="H27" s="58" t="n"/>
      <c r="I27" s="58" t="n"/>
      <c r="J27" s="58" t="n"/>
      <c r="K27" s="58" t="n"/>
      <c r="L27" s="58" t="n"/>
      <c r="M27" s="58" t="n"/>
      <c r="N27" s="59" t="n"/>
      <c r="O27" s="60" t="n"/>
      <c r="P27" s="58" t="n"/>
      <c r="Q27" s="61" t="n"/>
      <c r="R27" s="62" t="n"/>
    </row>
    <row r="28" ht="6" customHeight="1">
      <c r="A28" s="57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9" t="n"/>
      <c r="O28" s="60" t="n"/>
      <c r="P28" s="58" t="n"/>
      <c r="Q28" s="61" t="n"/>
      <c r="R28" s="62" t="n"/>
    </row>
    <row r="29" ht="12.75" customHeight="1">
      <c r="A29" s="47" t="n"/>
      <c r="B29" s="32" t="inlineStr">
        <is>
          <t>Contract Value</t>
        </is>
      </c>
      <c r="C29" s="44" t="n"/>
      <c r="D29" s="44" t="n"/>
      <c r="E29" s="44" t="n"/>
      <c r="F29" s="44" t="n"/>
      <c r="G29" s="75" t="n"/>
      <c r="H29" s="75" t="inlineStr">
        <is>
          <t>RMB</t>
        </is>
      </c>
      <c r="I29" s="204" t="n">
        <v>1000000</v>
      </c>
      <c r="N29" s="63" t="n"/>
      <c r="O29" s="64" t="n"/>
      <c r="P29" s="44" t="n"/>
      <c r="Q29" s="66" t="n"/>
      <c r="R29" s="43" t="n"/>
    </row>
    <row r="30" ht="12.75" customHeight="1">
      <c r="A30" s="47" t="n"/>
      <c r="B30" s="44" t="inlineStr">
        <is>
          <t>Add: Variations to-date</t>
        </is>
      </c>
      <c r="C30" s="44" t="n"/>
      <c r="D30" s="44" t="n"/>
      <c r="E30" s="44" t="n"/>
      <c r="F30" s="44" t="n"/>
      <c r="G30" s="75" t="n"/>
      <c r="H30" s="75" t="inlineStr">
        <is>
          <t>RMB</t>
        </is>
      </c>
      <c r="I30" s="161" t="n">
        <v>0</v>
      </c>
      <c r="N30" s="63" t="n"/>
      <c r="O30" s="64" t="n"/>
      <c r="P30" s="44" t="n"/>
      <c r="Q30" s="66" t="n"/>
      <c r="R30" s="43" t="n"/>
    </row>
    <row r="31" ht="12.75" customHeight="1">
      <c r="A31" s="47" t="n"/>
      <c r="B31" s="32" t="inlineStr">
        <is>
          <t>Adjusted Contract Value</t>
        </is>
      </c>
      <c r="C31" s="44" t="n"/>
      <c r="D31" s="44" t="n"/>
      <c r="E31" s="44" t="n"/>
      <c r="F31" s="44" t="n"/>
      <c r="G31" s="75" t="n"/>
      <c r="H31" s="75" t="inlineStr">
        <is>
          <t>RMB</t>
        </is>
      </c>
      <c r="I31" s="163">
        <f>I29+I30</f>
        <v/>
      </c>
      <c r="J31" s="205" t="n"/>
      <c r="K31" s="205" t="n"/>
      <c r="L31" s="205" t="n"/>
      <c r="M31" s="205" t="n"/>
      <c r="N31" s="63" t="n"/>
      <c r="O31" s="64" t="n"/>
      <c r="P31" s="76" t="n"/>
      <c r="Q31" s="206" t="n"/>
      <c r="R31" s="43" t="n"/>
    </row>
    <row r="32" ht="12.75" customHeight="1">
      <c r="A32" s="47" t="n"/>
      <c r="B32" s="44" t="n"/>
      <c r="C32" s="44" t="n"/>
      <c r="D32" s="44" t="n"/>
      <c r="E32" s="44" t="n"/>
      <c r="F32" s="44" t="n"/>
      <c r="G32" s="75" t="n"/>
      <c r="H32" s="75" t="n"/>
      <c r="I32" s="165" t="n"/>
      <c r="N32" s="63" t="n"/>
      <c r="O32" s="64" t="n"/>
      <c r="P32" s="44" t="n"/>
      <c r="Q32" s="68" t="n"/>
      <c r="R32" s="43" t="n"/>
    </row>
    <row r="33" ht="12.75" customHeight="1">
      <c r="A33" s="47" t="n"/>
      <c r="B33" s="167" t="n"/>
      <c r="E33" s="44" t="n"/>
      <c r="F33" s="44" t="n"/>
      <c r="G33" s="44" t="n"/>
      <c r="H33" s="76" t="n"/>
      <c r="I33" s="165" t="n"/>
      <c r="J33" s="166" t="n"/>
      <c r="K33" s="166" t="n"/>
      <c r="L33" s="166" t="n"/>
      <c r="M33" s="166" t="n"/>
      <c r="N33" s="63" t="n"/>
      <c r="O33" s="64" t="n"/>
      <c r="P33" s="44" t="n"/>
      <c r="Q33" s="68" t="n"/>
      <c r="R33" s="43" t="n"/>
    </row>
    <row r="34" ht="6" customHeight="1" thickBot="1">
      <c r="A34" s="80" t="n"/>
      <c r="B34" s="81" t="n"/>
      <c r="C34" s="82" t="n"/>
      <c r="D34" s="82" t="n"/>
      <c r="E34" s="82" t="n"/>
      <c r="F34" s="82" t="n"/>
      <c r="G34" s="82" t="n"/>
      <c r="H34" s="82" t="n"/>
      <c r="I34" s="82" t="n"/>
      <c r="J34" s="82" t="n"/>
      <c r="K34" s="82" t="n"/>
      <c r="L34" s="82" t="n"/>
      <c r="M34" s="82" t="n"/>
      <c r="N34" s="83" t="n"/>
      <c r="O34" s="84" t="n"/>
      <c r="P34" s="85" t="n"/>
      <c r="Q34" s="85" t="n"/>
      <c r="R34" s="86" t="n"/>
    </row>
    <row r="35" ht="6" customHeight="1" thickTop="1">
      <c r="A35" s="47" t="n"/>
      <c r="B35" s="32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63" t="n"/>
      <c r="O35" s="87" t="n"/>
      <c r="P35" s="88" t="n"/>
      <c r="Q35" s="88" t="n"/>
      <c r="R35" s="89" t="n"/>
    </row>
    <row r="36" ht="15.95" customHeight="1">
      <c r="A36" s="47" t="n"/>
      <c r="B36" s="44" t="n"/>
      <c r="C36" s="44" t="n"/>
      <c r="D36" s="44" t="n"/>
      <c r="E36" s="44" t="n"/>
      <c r="F36" s="44" t="n"/>
      <c r="G36" s="44" t="n"/>
      <c r="H36" s="44" t="n"/>
      <c r="I36" s="44" t="n"/>
      <c r="J36" s="44" t="n"/>
      <c r="K36" s="44" t="n"/>
      <c r="L36" s="44" t="n"/>
      <c r="M36" s="44" t="n"/>
      <c r="N36" s="63" t="n"/>
      <c r="O36" s="64" t="n"/>
      <c r="P36" s="76" t="n"/>
      <c r="Q36" s="207" t="n"/>
      <c r="R36" s="43" t="n"/>
      <c r="T36" s="14" t="n"/>
    </row>
    <row r="37" ht="15.95" customHeight="1">
      <c r="A37" s="47" t="n"/>
      <c r="B37" s="208" t="inlineStr">
        <is>
          <t>到货 / Delivery</t>
        </is>
      </c>
      <c r="N37" s="63" t="n"/>
      <c r="O37" s="64" t="n"/>
      <c r="P37" s="76" t="n"/>
      <c r="Q37" s="209" t="n">
        <v>300000</v>
      </c>
      <c r="R37" s="43" t="n"/>
      <c r="T37" s="14" t="n"/>
    </row>
    <row r="38" ht="15.95" customHeight="1">
      <c r="A38" s="47" t="n"/>
      <c r="B38" s="44" t="n"/>
      <c r="C38" s="44" t="n"/>
      <c r="D38" s="44" t="n"/>
      <c r="E38" s="44" t="n"/>
      <c r="F38" s="44" t="n"/>
      <c r="G38" s="44" t="n"/>
      <c r="H38" s="44" t="n"/>
      <c r="I38" s="44" t="n"/>
      <c r="J38" s="44" t="n"/>
      <c r="K38" s="44" t="n"/>
      <c r="L38" s="44" t="n"/>
      <c r="M38" s="44" t="n"/>
      <c r="N38" s="63" t="n"/>
      <c r="O38" s="69" t="n"/>
      <c r="P38" s="91" t="n"/>
      <c r="Q38" s="129" t="n"/>
      <c r="R38" s="46" t="n"/>
      <c r="T38" s="14" t="n"/>
    </row>
    <row r="39" ht="15.95" customFormat="1" customHeight="1" s="3">
      <c r="A39" s="92" t="n"/>
      <c r="B39" s="32" t="inlineStr">
        <is>
          <t xml:space="preserve">Total Invoice Value </t>
        </is>
      </c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93" t="n"/>
      <c r="O39" s="51" t="n"/>
      <c r="P39" s="76" t="n"/>
      <c r="Q39" s="126" t="n">
        <v>400000</v>
      </c>
      <c r="R39" s="94" t="n"/>
      <c r="V39" s="5" t="n"/>
    </row>
    <row r="40" ht="15.95" customFormat="1" customHeight="1" s="3">
      <c r="A40" s="92" t="n"/>
      <c r="B40" s="32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93" t="n"/>
      <c r="O40" s="51" t="n"/>
      <c r="P40" s="76" t="n"/>
      <c r="Q40" s="161" t="n"/>
      <c r="R40" s="94" t="n"/>
      <c r="V40" s="5" t="n"/>
    </row>
    <row r="41" ht="15.95" customHeight="1">
      <c r="A41" s="47" t="n"/>
      <c r="B41" s="169" t="inlineStr">
        <is>
          <t xml:space="preserve">LESS payment previously certified </t>
        </is>
      </c>
      <c r="N41" s="203" t="n"/>
      <c r="O41" s="64" t="n"/>
      <c r="P41" s="76" t="n"/>
      <c r="Q41" s="127" t="n">
        <v>100000</v>
      </c>
      <c r="R41" s="43" t="n"/>
      <c r="T41" s="14" t="n"/>
    </row>
    <row r="42" ht="19.5" customHeight="1">
      <c r="A42" s="47" t="n"/>
      <c r="B42" s="44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93" t="n"/>
      <c r="O42" s="97" t="n"/>
      <c r="P42" s="91" t="n"/>
      <c r="Q42" s="98" t="n"/>
      <c r="R42" s="99" t="n"/>
      <c r="T42" s="14" t="n"/>
      <c r="U42" s="210" t="n"/>
      <c r="V42" s="7" t="n"/>
    </row>
    <row r="43" ht="6" customHeight="1">
      <c r="A43" s="57" t="n"/>
      <c r="B43" s="58" t="n"/>
      <c r="C43" s="58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9" t="n"/>
      <c r="O43" s="64" t="n"/>
      <c r="P43" s="68" t="n"/>
      <c r="Q43" s="96" t="n"/>
      <c r="R43" s="43" t="n"/>
      <c r="T43" s="14" t="n"/>
    </row>
    <row r="44" ht="6" customHeight="1" thickBot="1">
      <c r="A44" s="47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63" t="n"/>
      <c r="O44" s="64" t="n"/>
      <c r="P44" s="68" t="n"/>
      <c r="Q44" s="96" t="n"/>
      <c r="R44" s="43" t="n"/>
      <c r="T44" s="14" t="n"/>
    </row>
    <row r="45" ht="21.75" customHeight="1" thickBot="1" thickTop="1">
      <c r="A45" s="47" t="n"/>
      <c r="B45" s="146" t="inlineStr">
        <is>
          <t>TOTAL CLAIM</t>
        </is>
      </c>
      <c r="N45" s="63" t="n"/>
      <c r="O45" s="64" t="n"/>
      <c r="P45" s="76" t="n"/>
      <c r="Q45" s="128" t="n">
        <v>300000</v>
      </c>
      <c r="R45" s="43" t="n"/>
      <c r="T45" s="14" t="n"/>
      <c r="V45" s="7" t="n"/>
    </row>
    <row r="46" ht="15" customHeight="1" thickTop="1">
      <c r="A46" s="47" t="n"/>
      <c r="B46" s="146" t="n"/>
      <c r="C46" s="147" t="n"/>
      <c r="D46" s="147" t="n"/>
      <c r="E46" s="147" t="n"/>
      <c r="F46" s="147" t="n"/>
      <c r="G46" s="147" t="n"/>
      <c r="H46" s="147" t="n"/>
      <c r="I46" s="147" t="n"/>
      <c r="J46" s="147" t="n"/>
      <c r="K46" s="147" t="n"/>
      <c r="L46" s="147" t="n"/>
      <c r="M46" s="147" t="n"/>
      <c r="N46" s="63" t="n"/>
      <c r="O46" s="64" t="n"/>
      <c r="P46" s="76" t="n"/>
      <c r="Q46" s="102" t="n"/>
      <c r="R46" s="43" t="n"/>
      <c r="V46" s="7" t="n"/>
    </row>
    <row r="47" ht="14.1" customHeight="1">
      <c r="A47" s="47" t="n"/>
      <c r="B47" s="32" t="n"/>
      <c r="C47" s="147" t="n"/>
      <c r="D47" s="147" t="n"/>
      <c r="E47" s="147" t="n"/>
      <c r="F47" s="147" t="n"/>
      <c r="G47" s="147" t="n"/>
      <c r="H47" s="147" t="n"/>
      <c r="I47" s="147" t="n"/>
      <c r="J47" s="147" t="n"/>
      <c r="K47" s="147" t="n"/>
      <c r="L47" s="147" t="n"/>
      <c r="M47" s="147" t="n"/>
      <c r="N47" s="63" t="n"/>
      <c r="O47" s="64" t="n"/>
      <c r="P47" s="76" t="n"/>
      <c r="Q47" s="102" t="n"/>
      <c r="R47" s="43" t="n"/>
      <c r="V47" s="7" t="n"/>
    </row>
    <row r="48" ht="6" customHeight="1">
      <c r="A48" s="45" t="n"/>
      <c r="B48" s="70" t="n"/>
      <c r="C48" s="70" t="n"/>
      <c r="D48" s="70" t="n"/>
      <c r="E48" s="70" t="n"/>
      <c r="F48" s="70" t="n"/>
      <c r="G48" s="70" t="n"/>
      <c r="H48" s="70" t="n"/>
      <c r="I48" s="70" t="n"/>
      <c r="J48" s="70" t="n"/>
      <c r="K48" s="70" t="n"/>
      <c r="L48" s="70" t="n"/>
      <c r="M48" s="70" t="n"/>
      <c r="N48" s="73" t="n"/>
      <c r="O48" s="69" t="n"/>
      <c r="P48" s="70" t="n"/>
      <c r="Q48" s="71" t="n"/>
      <c r="R48" s="46" t="n"/>
    </row>
    <row r="49" ht="15" customHeight="1">
      <c r="A49" s="57" t="n"/>
      <c r="B49" s="103" t="inlineStr">
        <is>
          <t xml:space="preserve">PAYMENT APPROVALS </t>
        </is>
      </c>
      <c r="C49" s="58" t="n"/>
      <c r="D49" s="58" t="n"/>
      <c r="E49" s="60" t="n"/>
      <c r="F49" s="58" t="n"/>
      <c r="G49" s="58" t="n"/>
      <c r="H49" s="58" t="n"/>
      <c r="I49" s="58" t="n"/>
      <c r="J49" s="58" t="n"/>
      <c r="K49" s="59" t="n"/>
      <c r="L49" s="58" t="n"/>
      <c r="M49" s="58" t="n"/>
      <c r="N49" s="58" t="n"/>
      <c r="O49" s="58" t="n"/>
      <c r="P49" s="58" t="n"/>
      <c r="Q49" s="61" t="n"/>
      <c r="R49" s="62" t="n"/>
    </row>
    <row r="50" ht="15" customHeight="1">
      <c r="A50" s="47" t="n"/>
      <c r="B50" s="149" t="n"/>
      <c r="D50" s="203" t="n"/>
      <c r="E50" s="211" t="inlineStr">
        <is>
          <t>Date</t>
        </is>
      </c>
      <c r="K50" s="203" t="n"/>
      <c r="L50" s="158" t="n"/>
      <c r="R50" s="212" t="n"/>
      <c r="S50" s="12" t="n"/>
    </row>
    <row r="51" ht="15" customHeight="1">
      <c r="A51" s="47" t="n"/>
      <c r="B51" s="149" t="n"/>
      <c r="D51" s="203" t="n"/>
      <c r="E51" s="211" t="n"/>
      <c r="K51" s="203" t="n"/>
      <c r="L51" s="213" t="n"/>
      <c r="R51" s="212" t="n"/>
      <c r="S51" s="12" t="n"/>
    </row>
    <row r="52" ht="15" customHeight="1">
      <c r="A52" s="47" t="n"/>
      <c r="B52" s="149" t="n"/>
      <c r="D52" s="203" t="n"/>
      <c r="E52" s="211" t="n"/>
      <c r="K52" s="203" t="n"/>
      <c r="L52" s="213" t="n"/>
      <c r="R52" s="212" t="n"/>
      <c r="S52" s="12" t="n"/>
    </row>
    <row r="53" ht="15" customHeight="1">
      <c r="A53" s="47" t="n"/>
      <c r="B53" s="149" t="n"/>
      <c r="D53" s="203" t="n"/>
      <c r="E53" s="211" t="n"/>
      <c r="K53" s="203" t="n"/>
      <c r="L53" s="158" t="n"/>
      <c r="R53" s="212" t="n"/>
      <c r="S53" s="12" t="n"/>
    </row>
    <row r="54" ht="6" customHeight="1">
      <c r="A54" s="104" t="n"/>
      <c r="B54" s="48" t="n"/>
      <c r="C54" s="48" t="n"/>
      <c r="D54" s="105" t="n"/>
      <c r="E54" s="49" t="n"/>
      <c r="F54" s="48" t="n"/>
      <c r="G54" s="48" t="n"/>
      <c r="H54" s="48" t="n"/>
      <c r="I54" s="48" t="n"/>
      <c r="J54" s="48" t="n"/>
      <c r="K54" s="105" t="n"/>
      <c r="L54" s="48" t="n"/>
      <c r="M54" s="48" t="n"/>
      <c r="N54" s="48" t="n"/>
      <c r="O54" s="48" t="n"/>
      <c r="P54" s="48" t="n"/>
      <c r="Q54" s="48" t="n"/>
      <c r="R54" s="106" t="n"/>
      <c r="S54" s="2" t="n"/>
    </row>
    <row r="55" ht="6" customHeight="1">
      <c r="A55" s="57" t="n"/>
      <c r="B55" s="58" t="n"/>
      <c r="C55" s="58" t="n"/>
      <c r="D55" s="59" t="n"/>
      <c r="E55" s="60" t="n"/>
      <c r="F55" s="58" t="n"/>
      <c r="G55" s="58" t="n"/>
      <c r="H55" s="58" t="n"/>
      <c r="I55" s="58" t="n"/>
      <c r="J55" s="58" t="n"/>
      <c r="K55" s="59" t="n"/>
      <c r="L55" s="58" t="n"/>
      <c r="M55" s="58" t="n"/>
      <c r="N55" s="58" t="n"/>
      <c r="O55" s="58" t="n"/>
      <c r="P55" s="58" t="n"/>
      <c r="Q55" s="61" t="n"/>
      <c r="R55" s="62" t="n"/>
    </row>
    <row r="56" ht="15" customHeight="1">
      <c r="A56" s="47" t="n"/>
      <c r="B56" s="149" t="inlineStr">
        <is>
          <t>Signature</t>
        </is>
      </c>
      <c r="D56" s="203" t="n"/>
      <c r="E56" s="211" t="inlineStr">
        <is>
          <t>Date</t>
        </is>
      </c>
      <c r="K56" s="203" t="n"/>
      <c r="L56" s="158" t="inlineStr">
        <is>
          <t>Project Manager</t>
        </is>
      </c>
      <c r="R56" s="212" t="n"/>
      <c r="S56" s="12" t="n"/>
    </row>
    <row r="57" ht="15" customHeight="1">
      <c r="A57" s="47" t="n"/>
      <c r="B57" s="148" t="n"/>
      <c r="C57" s="148" t="n"/>
      <c r="D57" s="149" t="n"/>
      <c r="E57" s="150" t="n"/>
      <c r="F57" s="151" t="n"/>
      <c r="G57" s="151" t="n"/>
      <c r="H57" s="151" t="n"/>
      <c r="I57" s="151" t="n"/>
      <c r="J57" s="151" t="n"/>
      <c r="K57" s="152" t="n"/>
      <c r="L57" s="148" t="n"/>
      <c r="M57" s="153" t="n"/>
      <c r="N57" s="153" t="n"/>
      <c r="O57" s="153" t="n"/>
      <c r="P57" s="153" t="n"/>
      <c r="Q57" s="153" t="n"/>
      <c r="R57" s="154" t="n"/>
      <c r="S57" s="12" t="n"/>
    </row>
    <row r="58" ht="15" customHeight="1">
      <c r="A58" s="47" t="n"/>
      <c r="B58" s="148" t="n"/>
      <c r="C58" s="148" t="n"/>
      <c r="D58" s="149" t="n"/>
      <c r="E58" s="150" t="n"/>
      <c r="F58" s="151" t="n"/>
      <c r="G58" s="151" t="n"/>
      <c r="H58" s="151" t="n"/>
      <c r="I58" s="151" t="n"/>
      <c r="J58" s="151" t="n"/>
      <c r="K58" s="152" t="n"/>
      <c r="L58" s="155" t="n"/>
      <c r="M58" s="153" t="n"/>
      <c r="N58" s="153" t="n"/>
      <c r="O58" s="153" t="n"/>
      <c r="P58" s="153" t="n"/>
      <c r="Q58" s="153" t="n"/>
      <c r="R58" s="154" t="n"/>
      <c r="S58" s="12" t="n"/>
    </row>
    <row r="59" ht="15" customHeight="1">
      <c r="A59" s="47" t="n"/>
      <c r="B59" s="148" t="n"/>
      <c r="C59" s="148" t="n"/>
      <c r="D59" s="149" t="n"/>
      <c r="E59" s="150" t="n"/>
      <c r="F59" s="151" t="n"/>
      <c r="G59" s="151" t="n"/>
      <c r="H59" s="151" t="n"/>
      <c r="I59" s="151" t="n"/>
      <c r="J59" s="151" t="n"/>
      <c r="K59" s="152" t="n"/>
      <c r="L59" s="155" t="n"/>
      <c r="M59" s="153" t="n"/>
      <c r="N59" s="153" t="n"/>
      <c r="O59" s="153" t="n"/>
      <c r="P59" s="153" t="n"/>
      <c r="Q59" s="153" t="n"/>
      <c r="R59" s="154" t="n"/>
      <c r="S59" s="12" t="n"/>
    </row>
    <row r="60" ht="15" customHeight="1">
      <c r="A60" s="47" t="n"/>
      <c r="B60" s="149" t="n"/>
      <c r="D60" s="203" t="n"/>
      <c r="E60" s="211" t="n"/>
      <c r="K60" s="203" t="n"/>
      <c r="L60" s="213" t="n"/>
      <c r="R60" s="212" t="n"/>
      <c r="S60" s="12" t="n"/>
    </row>
    <row r="61" ht="15" customHeight="1">
      <c r="A61" s="45" t="n"/>
      <c r="B61" s="70" t="n"/>
      <c r="C61" s="70" t="n"/>
      <c r="D61" s="70" t="n"/>
      <c r="E61" s="69" t="n"/>
      <c r="F61" s="70" t="n"/>
      <c r="G61" s="70" t="n"/>
      <c r="H61" s="70" t="n"/>
      <c r="I61" s="70" t="n"/>
      <c r="J61" s="70" t="n"/>
      <c r="K61" s="73" t="n"/>
      <c r="L61" s="214" t="n"/>
      <c r="M61" s="205" t="n"/>
      <c r="N61" s="205" t="n"/>
      <c r="O61" s="205" t="n"/>
      <c r="P61" s="205" t="n"/>
      <c r="Q61" s="205" t="n"/>
      <c r="R61" s="215" t="n"/>
      <c r="S61" s="13" t="n"/>
    </row>
    <row r="62" ht="15" customFormat="1" customHeight="1" s="8">
      <c r="A62" s="114" t="n"/>
      <c r="B62" s="115" t="inlineStr">
        <is>
          <t>Notes:</t>
        </is>
      </c>
      <c r="C62" s="116" t="n"/>
      <c r="D62" s="116" t="n"/>
      <c r="E62" s="116" t="n"/>
      <c r="F62" s="116" t="n"/>
      <c r="G62" s="116" t="n"/>
      <c r="H62" s="116" t="n"/>
      <c r="I62" s="116" t="n"/>
      <c r="J62" s="116" t="n"/>
      <c r="K62" s="116" t="n"/>
      <c r="L62" s="116" t="n"/>
      <c r="M62" s="116" t="n"/>
      <c r="N62" s="116" t="n"/>
      <c r="O62" s="116" t="n"/>
      <c r="P62" s="116" t="n"/>
      <c r="Q62" s="116" t="n"/>
      <c r="R62" s="62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  <c r="BB62" s="1" t="n"/>
      <c r="BC62" s="1" t="n"/>
      <c r="BD62" s="1" t="n"/>
      <c r="BE62" s="1" t="n"/>
      <c r="BF62" s="1" t="n"/>
      <c r="BG62" s="1" t="n"/>
      <c r="BH62" s="1" t="n"/>
      <c r="BI62" s="1" t="n"/>
      <c r="BJ62" s="1" t="n"/>
      <c r="BK62" s="1" t="n"/>
      <c r="BL62" s="1" t="n"/>
      <c r="BM62" s="1" t="n"/>
      <c r="BN62" s="1" t="n"/>
      <c r="BO62" s="1" t="n"/>
      <c r="BP62" s="1" t="n"/>
      <c r="BQ62" s="1" t="n"/>
      <c r="BR62" s="1" t="n"/>
      <c r="BS62" s="1" t="n"/>
      <c r="BT62" s="1" t="n"/>
      <c r="BU62" s="1" t="n"/>
      <c r="BV62" s="1" t="n"/>
      <c r="BW62" s="1" t="n"/>
      <c r="BX62" s="1" t="n"/>
      <c r="BY62" s="1" t="n"/>
      <c r="BZ62" s="1" t="n"/>
      <c r="CA62" s="1" t="n"/>
      <c r="CB62" s="1" t="n"/>
      <c r="CC62" s="1" t="n"/>
      <c r="CD62" s="1" t="n"/>
      <c r="CE62" s="1" t="n"/>
      <c r="CF62" s="1" t="n"/>
      <c r="CG62" s="1" t="n"/>
      <c r="CH62" s="1" t="n"/>
      <c r="CI62" s="1" t="n"/>
      <c r="CJ62" s="1" t="n"/>
      <c r="CK62" s="1" t="n"/>
      <c r="CL62" s="1" t="n"/>
      <c r="CM62" s="1" t="n"/>
      <c r="CN62" s="1" t="n"/>
      <c r="CO62" s="1" t="n"/>
      <c r="CP62" s="1" t="n"/>
      <c r="CQ62" s="1" t="n"/>
      <c r="CR62" s="1" t="n"/>
      <c r="CS62" s="1" t="n"/>
      <c r="CT62" s="1" t="n"/>
      <c r="CU62" s="1" t="n"/>
      <c r="CV62" s="1" t="n"/>
      <c r="CW62" s="1" t="n"/>
      <c r="CX62" s="1" t="n"/>
      <c r="CY62" s="1" t="n"/>
      <c r="CZ62" s="1" t="n"/>
      <c r="DA62" s="1" t="n"/>
      <c r="DB62" s="1" t="n"/>
      <c r="DC62" s="1" t="n"/>
      <c r="DD62" s="1" t="n"/>
      <c r="DE62" s="1" t="n"/>
      <c r="DF62" s="1" t="n"/>
      <c r="DG62" s="1" t="n"/>
      <c r="DH62" s="1" t="n"/>
      <c r="DI62" s="1" t="n"/>
      <c r="DJ62" s="1" t="n"/>
      <c r="DK62" s="1" t="n"/>
      <c r="DL62" s="1" t="n"/>
      <c r="DM62" s="1" t="n"/>
      <c r="DN62" s="1" t="n"/>
      <c r="DO62" s="1" t="n"/>
      <c r="DP62" s="1" t="n"/>
      <c r="DQ62" s="1" t="n"/>
      <c r="DR62" s="1" t="n"/>
      <c r="DS62" s="1" t="n"/>
      <c r="DT62" s="1" t="n"/>
      <c r="DU62" s="1" t="n"/>
      <c r="DV62" s="1" t="n"/>
      <c r="DW62" s="1" t="n"/>
      <c r="DX62" s="1" t="n"/>
      <c r="DY62" s="1" t="n"/>
      <c r="DZ62" s="1" t="n"/>
      <c r="EA62" s="1" t="n"/>
      <c r="EB62" s="1" t="n"/>
      <c r="EC62" s="1" t="n"/>
      <c r="ED62" s="1" t="n"/>
      <c r="EE62" s="1" t="n"/>
      <c r="EF62" s="1" t="n"/>
      <c r="EG62" s="1" t="n"/>
      <c r="EH62" s="1" t="n"/>
      <c r="EI62" s="1" t="n"/>
      <c r="EJ62" s="1" t="n"/>
      <c r="EK62" s="1" t="n"/>
      <c r="EL62" s="1" t="n"/>
      <c r="EM62" s="1" t="n"/>
      <c r="EN62" s="1" t="n"/>
      <c r="EO62" s="1" t="n"/>
      <c r="EP62" s="1" t="n"/>
      <c r="EQ62" s="1" t="n"/>
      <c r="ER62" s="1" t="n"/>
      <c r="ES62" s="1" t="n"/>
      <c r="ET62" s="1" t="n"/>
      <c r="EU62" s="1" t="n"/>
      <c r="EV62" s="1" t="n"/>
      <c r="EW62" s="1" t="n"/>
      <c r="EX62" s="1" t="n"/>
      <c r="EY62" s="1" t="n"/>
      <c r="EZ62" s="1" t="n"/>
      <c r="FA62" s="1" t="n"/>
      <c r="FB62" s="1" t="n"/>
      <c r="FC62" s="1" t="n"/>
      <c r="FD62" s="1" t="n"/>
      <c r="FE62" s="1" t="n"/>
      <c r="FF62" s="1" t="n"/>
      <c r="FG62" s="1" t="n"/>
      <c r="FH62" s="1" t="n"/>
      <c r="FI62" s="1" t="n"/>
      <c r="FJ62" s="1" t="n"/>
      <c r="FK62" s="1" t="n"/>
      <c r="FL62" s="1" t="n"/>
      <c r="FM62" s="1" t="n"/>
      <c r="FN62" s="1" t="n"/>
      <c r="FO62" s="1" t="n"/>
      <c r="FP62" s="1" t="n"/>
      <c r="FQ62" s="1" t="n"/>
      <c r="FR62" s="1" t="n"/>
      <c r="FS62" s="1" t="n"/>
      <c r="FT62" s="1" t="n"/>
      <c r="FU62" s="1" t="n"/>
      <c r="FV62" s="1" t="n"/>
      <c r="FW62" s="1" t="n"/>
      <c r="FX62" s="1" t="n"/>
      <c r="FY62" s="1" t="n"/>
      <c r="FZ62" s="1" t="n"/>
      <c r="GA62" s="1" t="n"/>
      <c r="GB62" s="1" t="n"/>
      <c r="GC62" s="1" t="n"/>
      <c r="GD62" s="1" t="n"/>
      <c r="GE62" s="1" t="n"/>
      <c r="GF62" s="1" t="n"/>
      <c r="GG62" s="1" t="n"/>
      <c r="GH62" s="1" t="n"/>
      <c r="GI62" s="1" t="n"/>
      <c r="GJ62" s="1" t="n"/>
      <c r="GK62" s="1" t="n"/>
      <c r="GL62" s="1" t="n"/>
      <c r="GM62" s="1" t="n"/>
      <c r="GN62" s="1" t="n"/>
      <c r="GO62" s="1" t="n"/>
      <c r="GP62" s="1" t="n"/>
      <c r="GQ62" s="1" t="n"/>
      <c r="GR62" s="1" t="n"/>
      <c r="GS62" s="1" t="n"/>
      <c r="GT62" s="1" t="n"/>
      <c r="GU62" s="1" t="n"/>
      <c r="GV62" s="1" t="n"/>
      <c r="GW62" s="1" t="n"/>
      <c r="GX62" s="1" t="n"/>
    </row>
    <row r="63" ht="14.1" customFormat="1" customHeight="1" s="8">
      <c r="A63" s="117" t="n"/>
      <c r="B63" s="118" t="inlineStr">
        <is>
          <t>Please note the following assumptions</t>
        </is>
      </c>
      <c r="C63" s="119" t="n"/>
      <c r="D63" s="119" t="n"/>
      <c r="E63" s="119" t="n"/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20" t="n"/>
      <c r="O63" s="120" t="n"/>
      <c r="P63" s="120" t="n"/>
      <c r="Q63" s="120" t="n"/>
      <c r="R63" s="43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  <c r="BA63" s="1" t="n"/>
      <c r="BB63" s="1" t="n"/>
      <c r="BC63" s="1" t="n"/>
      <c r="BD63" s="1" t="n"/>
      <c r="BE63" s="1" t="n"/>
      <c r="BF63" s="1" t="n"/>
      <c r="BG63" s="1" t="n"/>
      <c r="BH63" s="1" t="n"/>
      <c r="BI63" s="1" t="n"/>
      <c r="BJ63" s="1" t="n"/>
      <c r="BK63" s="1" t="n"/>
      <c r="BL63" s="1" t="n"/>
      <c r="BM63" s="1" t="n"/>
      <c r="BN63" s="1" t="n"/>
      <c r="BO63" s="1" t="n"/>
      <c r="BP63" s="1" t="n"/>
      <c r="BQ63" s="1" t="n"/>
      <c r="BR63" s="1" t="n"/>
      <c r="BS63" s="1" t="n"/>
      <c r="BT63" s="1" t="n"/>
      <c r="BU63" s="1" t="n"/>
      <c r="BV63" s="1" t="n"/>
      <c r="BW63" s="1" t="n"/>
      <c r="BX63" s="1" t="n"/>
      <c r="BY63" s="1" t="n"/>
      <c r="BZ63" s="1" t="n"/>
      <c r="CA63" s="1" t="n"/>
      <c r="CB63" s="1" t="n"/>
      <c r="CC63" s="1" t="n"/>
      <c r="CD63" s="1" t="n"/>
      <c r="CE63" s="1" t="n"/>
      <c r="CF63" s="1" t="n"/>
      <c r="CG63" s="1" t="n"/>
      <c r="CH63" s="1" t="n"/>
      <c r="CI63" s="1" t="n"/>
      <c r="CJ63" s="1" t="n"/>
      <c r="CK63" s="1" t="n"/>
      <c r="CL63" s="1" t="n"/>
      <c r="CM63" s="1" t="n"/>
      <c r="CN63" s="1" t="n"/>
      <c r="CO63" s="1" t="n"/>
      <c r="CP63" s="1" t="n"/>
      <c r="CQ63" s="1" t="n"/>
      <c r="CR63" s="1" t="n"/>
      <c r="CS63" s="1" t="n"/>
      <c r="CT63" s="1" t="n"/>
      <c r="CU63" s="1" t="n"/>
      <c r="CV63" s="1" t="n"/>
      <c r="CW63" s="1" t="n"/>
      <c r="CX63" s="1" t="n"/>
      <c r="CY63" s="1" t="n"/>
      <c r="CZ63" s="1" t="n"/>
      <c r="DA63" s="1" t="n"/>
      <c r="DB63" s="1" t="n"/>
      <c r="DC63" s="1" t="n"/>
      <c r="DD63" s="1" t="n"/>
      <c r="DE63" s="1" t="n"/>
      <c r="DF63" s="1" t="n"/>
      <c r="DG63" s="1" t="n"/>
      <c r="DH63" s="1" t="n"/>
      <c r="DI63" s="1" t="n"/>
      <c r="DJ63" s="1" t="n"/>
      <c r="DK63" s="1" t="n"/>
      <c r="DL63" s="1" t="n"/>
      <c r="DM63" s="1" t="n"/>
      <c r="DN63" s="1" t="n"/>
      <c r="DO63" s="1" t="n"/>
      <c r="DP63" s="1" t="n"/>
      <c r="DQ63" s="1" t="n"/>
      <c r="DR63" s="1" t="n"/>
      <c r="DS63" s="1" t="n"/>
      <c r="DT63" s="1" t="n"/>
      <c r="DU63" s="1" t="n"/>
      <c r="DV63" s="1" t="n"/>
      <c r="DW63" s="1" t="n"/>
      <c r="DX63" s="1" t="n"/>
      <c r="DY63" s="1" t="n"/>
      <c r="DZ63" s="1" t="n"/>
      <c r="EA63" s="1" t="n"/>
      <c r="EB63" s="1" t="n"/>
      <c r="EC63" s="1" t="n"/>
      <c r="ED63" s="1" t="n"/>
      <c r="EE63" s="1" t="n"/>
      <c r="EF63" s="1" t="n"/>
      <c r="EG63" s="1" t="n"/>
      <c r="EH63" s="1" t="n"/>
      <c r="EI63" s="1" t="n"/>
      <c r="EJ63" s="1" t="n"/>
      <c r="EK63" s="1" t="n"/>
      <c r="EL63" s="1" t="n"/>
      <c r="EM63" s="1" t="n"/>
      <c r="EN63" s="1" t="n"/>
      <c r="EO63" s="1" t="n"/>
      <c r="EP63" s="1" t="n"/>
      <c r="EQ63" s="1" t="n"/>
      <c r="ER63" s="1" t="n"/>
      <c r="ES63" s="1" t="n"/>
      <c r="ET63" s="1" t="n"/>
      <c r="EU63" s="1" t="n"/>
      <c r="EV63" s="1" t="n"/>
      <c r="EW63" s="1" t="n"/>
      <c r="EX63" s="1" t="n"/>
      <c r="EY63" s="1" t="n"/>
      <c r="EZ63" s="1" t="n"/>
      <c r="FA63" s="1" t="n"/>
      <c r="FB63" s="1" t="n"/>
      <c r="FC63" s="1" t="n"/>
      <c r="FD63" s="1" t="n"/>
      <c r="FE63" s="1" t="n"/>
      <c r="FF63" s="1" t="n"/>
      <c r="FG63" s="1" t="n"/>
      <c r="FH63" s="1" t="n"/>
      <c r="FI63" s="1" t="n"/>
      <c r="FJ63" s="1" t="n"/>
      <c r="FK63" s="1" t="n"/>
      <c r="FL63" s="1" t="n"/>
      <c r="FM63" s="1" t="n"/>
      <c r="FN63" s="1" t="n"/>
      <c r="FO63" s="1" t="n"/>
      <c r="FP63" s="1" t="n"/>
      <c r="FQ63" s="1" t="n"/>
      <c r="FR63" s="1" t="n"/>
      <c r="FS63" s="1" t="n"/>
      <c r="FT63" s="1" t="n"/>
      <c r="FU63" s="1" t="n"/>
      <c r="FV63" s="1" t="n"/>
      <c r="FW63" s="1" t="n"/>
      <c r="FX63" s="1" t="n"/>
      <c r="FY63" s="1" t="n"/>
      <c r="FZ63" s="1" t="n"/>
      <c r="GA63" s="1" t="n"/>
      <c r="GB63" s="1" t="n"/>
      <c r="GC63" s="1" t="n"/>
      <c r="GD63" s="1" t="n"/>
      <c r="GE63" s="1" t="n"/>
      <c r="GF63" s="1" t="n"/>
      <c r="GG63" s="1" t="n"/>
      <c r="GH63" s="1" t="n"/>
      <c r="GI63" s="1" t="n"/>
      <c r="GJ63" s="1" t="n"/>
      <c r="GK63" s="1" t="n"/>
      <c r="GL63" s="1" t="n"/>
      <c r="GM63" s="1" t="n"/>
      <c r="GN63" s="1" t="n"/>
      <c r="GO63" s="1" t="n"/>
      <c r="GP63" s="1" t="n"/>
      <c r="GQ63" s="1" t="n"/>
      <c r="GR63" s="1" t="n"/>
      <c r="GS63" s="1" t="n"/>
      <c r="GT63" s="1" t="n"/>
      <c r="GU63" s="1" t="n"/>
      <c r="GV63" s="1" t="n"/>
      <c r="GW63" s="1" t="n"/>
      <c r="GX63" s="1" t="n"/>
    </row>
    <row r="64" ht="14.1" customFormat="1" customHeight="1" s="8">
      <c r="A64" s="121" t="n"/>
      <c r="B64" s="119" t="inlineStr">
        <is>
          <t xml:space="preserve">(a) This invoice without VAT  </t>
        </is>
      </c>
      <c r="C64" s="119" t="n"/>
      <c r="D64" s="119" t="n"/>
      <c r="E64" s="119" t="n"/>
      <c r="F64" s="119" t="n"/>
      <c r="G64" s="119" t="n"/>
      <c r="H64" s="119" t="n"/>
      <c r="I64" s="119" t="n"/>
      <c r="J64" s="119" t="n"/>
      <c r="K64" s="119" t="n"/>
      <c r="L64" s="119" t="n"/>
      <c r="M64" s="119" t="n"/>
      <c r="N64" s="120" t="n"/>
      <c r="O64" s="120" t="n"/>
      <c r="P64" s="120" t="n"/>
      <c r="Q64" s="120" t="n"/>
      <c r="R64" s="43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  <c r="BA64" s="1" t="n"/>
      <c r="BB64" s="1" t="n"/>
      <c r="BC64" s="1" t="n"/>
      <c r="BD64" s="1" t="n"/>
      <c r="BE64" s="1" t="n"/>
      <c r="BF64" s="1" t="n"/>
      <c r="BG64" s="1" t="n"/>
      <c r="BH64" s="1" t="n"/>
      <c r="BI64" s="1" t="n"/>
      <c r="BJ64" s="1" t="n"/>
      <c r="BK64" s="1" t="n"/>
      <c r="BL64" s="1" t="n"/>
      <c r="BM64" s="1" t="n"/>
      <c r="BN64" s="1" t="n"/>
      <c r="BO64" s="1" t="n"/>
      <c r="BP64" s="1" t="n"/>
      <c r="BQ64" s="1" t="n"/>
      <c r="BR64" s="1" t="n"/>
      <c r="BS64" s="1" t="n"/>
      <c r="BT64" s="1" t="n"/>
      <c r="BU64" s="1" t="n"/>
      <c r="BV64" s="1" t="n"/>
      <c r="BW64" s="1" t="n"/>
      <c r="BX64" s="1" t="n"/>
      <c r="BY64" s="1" t="n"/>
      <c r="BZ64" s="1" t="n"/>
      <c r="CA64" s="1" t="n"/>
      <c r="CB64" s="1" t="n"/>
      <c r="CC64" s="1" t="n"/>
      <c r="CD64" s="1" t="n"/>
      <c r="CE64" s="1" t="n"/>
      <c r="CF64" s="1" t="n"/>
      <c r="CG64" s="1" t="n"/>
      <c r="CH64" s="1" t="n"/>
      <c r="CI64" s="1" t="n"/>
      <c r="CJ64" s="1" t="n"/>
      <c r="CK64" s="1" t="n"/>
      <c r="CL64" s="1" t="n"/>
      <c r="CM64" s="1" t="n"/>
      <c r="CN64" s="1" t="n"/>
      <c r="CO64" s="1" t="n"/>
      <c r="CP64" s="1" t="n"/>
      <c r="CQ64" s="1" t="n"/>
      <c r="CR64" s="1" t="n"/>
      <c r="CS64" s="1" t="n"/>
      <c r="CT64" s="1" t="n"/>
      <c r="CU64" s="1" t="n"/>
      <c r="CV64" s="1" t="n"/>
      <c r="CW64" s="1" t="n"/>
      <c r="CX64" s="1" t="n"/>
      <c r="CY64" s="1" t="n"/>
      <c r="CZ64" s="1" t="n"/>
      <c r="DA64" s="1" t="n"/>
      <c r="DB64" s="1" t="n"/>
      <c r="DC64" s="1" t="n"/>
      <c r="DD64" s="1" t="n"/>
      <c r="DE64" s="1" t="n"/>
      <c r="DF64" s="1" t="n"/>
      <c r="DG64" s="1" t="n"/>
      <c r="DH64" s="1" t="n"/>
      <c r="DI64" s="1" t="n"/>
      <c r="DJ64" s="1" t="n"/>
      <c r="DK64" s="1" t="n"/>
      <c r="DL64" s="1" t="n"/>
      <c r="DM64" s="1" t="n"/>
      <c r="DN64" s="1" t="n"/>
      <c r="DO64" s="1" t="n"/>
      <c r="DP64" s="1" t="n"/>
      <c r="DQ64" s="1" t="n"/>
      <c r="DR64" s="1" t="n"/>
      <c r="DS64" s="1" t="n"/>
      <c r="DT64" s="1" t="n"/>
      <c r="DU64" s="1" t="n"/>
      <c r="DV64" s="1" t="n"/>
      <c r="DW64" s="1" t="n"/>
      <c r="DX64" s="1" t="n"/>
      <c r="DY64" s="1" t="n"/>
      <c r="DZ64" s="1" t="n"/>
      <c r="EA64" s="1" t="n"/>
      <c r="EB64" s="1" t="n"/>
      <c r="EC64" s="1" t="n"/>
      <c r="ED64" s="1" t="n"/>
      <c r="EE64" s="1" t="n"/>
      <c r="EF64" s="1" t="n"/>
      <c r="EG64" s="1" t="n"/>
      <c r="EH64" s="1" t="n"/>
      <c r="EI64" s="1" t="n"/>
      <c r="EJ64" s="1" t="n"/>
      <c r="EK64" s="1" t="n"/>
      <c r="EL64" s="1" t="n"/>
      <c r="EM64" s="1" t="n"/>
      <c r="EN64" s="1" t="n"/>
      <c r="EO64" s="1" t="n"/>
      <c r="EP64" s="1" t="n"/>
      <c r="EQ64" s="1" t="n"/>
      <c r="ER64" s="1" t="n"/>
      <c r="ES64" s="1" t="n"/>
      <c r="ET64" s="1" t="n"/>
      <c r="EU64" s="1" t="n"/>
      <c r="EV64" s="1" t="n"/>
      <c r="EW64" s="1" t="n"/>
      <c r="EX64" s="1" t="n"/>
      <c r="EY64" s="1" t="n"/>
      <c r="EZ64" s="1" t="n"/>
      <c r="FA64" s="1" t="n"/>
      <c r="FB64" s="1" t="n"/>
      <c r="FC64" s="1" t="n"/>
      <c r="FD64" s="1" t="n"/>
      <c r="FE64" s="1" t="n"/>
      <c r="FF64" s="1" t="n"/>
      <c r="FG64" s="1" t="n"/>
      <c r="FH64" s="1" t="n"/>
      <c r="FI64" s="1" t="n"/>
      <c r="FJ64" s="1" t="n"/>
      <c r="FK64" s="1" t="n"/>
      <c r="FL64" s="1" t="n"/>
      <c r="FM64" s="1" t="n"/>
      <c r="FN64" s="1" t="n"/>
      <c r="FO64" s="1" t="n"/>
      <c r="FP64" s="1" t="n"/>
      <c r="FQ64" s="1" t="n"/>
      <c r="FR64" s="1" t="n"/>
      <c r="FS64" s="1" t="n"/>
      <c r="FT64" s="1" t="n"/>
      <c r="FU64" s="1" t="n"/>
      <c r="FV64" s="1" t="n"/>
      <c r="FW64" s="1" t="n"/>
      <c r="FX64" s="1" t="n"/>
      <c r="FY64" s="1" t="n"/>
      <c r="FZ64" s="1" t="n"/>
      <c r="GA64" s="1" t="n"/>
      <c r="GB64" s="1" t="n"/>
      <c r="GC64" s="1" t="n"/>
      <c r="GD64" s="1" t="n"/>
      <c r="GE64" s="1" t="n"/>
      <c r="GF64" s="1" t="n"/>
      <c r="GG64" s="1" t="n"/>
      <c r="GH64" s="1" t="n"/>
      <c r="GI64" s="1" t="n"/>
      <c r="GJ64" s="1" t="n"/>
      <c r="GK64" s="1" t="n"/>
      <c r="GL64" s="1" t="n"/>
      <c r="GM64" s="1" t="n"/>
      <c r="GN64" s="1" t="n"/>
      <c r="GO64" s="1" t="n"/>
      <c r="GP64" s="1" t="n"/>
      <c r="GQ64" s="1" t="n"/>
      <c r="GR64" s="1" t="n"/>
      <c r="GS64" s="1" t="n"/>
      <c r="GT64" s="1" t="n"/>
      <c r="GU64" s="1" t="n"/>
      <c r="GV64" s="1" t="n"/>
      <c r="GW64" s="1" t="n"/>
      <c r="GX64" s="1" t="n"/>
    </row>
    <row r="65" ht="14.1" customFormat="1" customHeight="1" s="8">
      <c r="A65" s="121" t="n"/>
      <c r="B65" s="119" t="inlineStr">
        <is>
          <t>(b) Please see attached email for approval.</t>
        </is>
      </c>
      <c r="C65" s="119" t="n"/>
      <c r="D65" s="119" t="n"/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20" t="n"/>
      <c r="O65" s="120" t="n"/>
      <c r="P65" s="120" t="n"/>
      <c r="Q65" s="120" t="n"/>
      <c r="R65" s="43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  <c r="BA65" s="1" t="n"/>
      <c r="BB65" s="1" t="n"/>
      <c r="BC65" s="1" t="n"/>
      <c r="BD65" s="1" t="n"/>
      <c r="BE65" s="1" t="n"/>
      <c r="BF65" s="1" t="n"/>
      <c r="BG65" s="1" t="n"/>
      <c r="BH65" s="1" t="n"/>
      <c r="BI65" s="1" t="n"/>
      <c r="BJ65" s="1" t="n"/>
      <c r="BK65" s="1" t="n"/>
      <c r="BL65" s="1" t="n"/>
      <c r="BM65" s="1" t="n"/>
      <c r="BN65" s="1" t="n"/>
      <c r="BO65" s="1" t="n"/>
      <c r="BP65" s="1" t="n"/>
      <c r="BQ65" s="1" t="n"/>
      <c r="BR65" s="1" t="n"/>
      <c r="BS65" s="1" t="n"/>
      <c r="BT65" s="1" t="n"/>
      <c r="BU65" s="1" t="n"/>
      <c r="BV65" s="1" t="n"/>
      <c r="BW65" s="1" t="n"/>
      <c r="BX65" s="1" t="n"/>
      <c r="BY65" s="1" t="n"/>
      <c r="BZ65" s="1" t="n"/>
      <c r="CA65" s="1" t="n"/>
      <c r="CB65" s="1" t="n"/>
      <c r="CC65" s="1" t="n"/>
      <c r="CD65" s="1" t="n"/>
      <c r="CE65" s="1" t="n"/>
      <c r="CF65" s="1" t="n"/>
      <c r="CG65" s="1" t="n"/>
      <c r="CH65" s="1" t="n"/>
      <c r="CI65" s="1" t="n"/>
      <c r="CJ65" s="1" t="n"/>
      <c r="CK65" s="1" t="n"/>
      <c r="CL65" s="1" t="n"/>
      <c r="CM65" s="1" t="n"/>
      <c r="CN65" s="1" t="n"/>
      <c r="CO65" s="1" t="n"/>
      <c r="CP65" s="1" t="n"/>
      <c r="CQ65" s="1" t="n"/>
      <c r="CR65" s="1" t="n"/>
      <c r="CS65" s="1" t="n"/>
      <c r="CT65" s="1" t="n"/>
      <c r="CU65" s="1" t="n"/>
      <c r="CV65" s="1" t="n"/>
      <c r="CW65" s="1" t="n"/>
      <c r="CX65" s="1" t="n"/>
      <c r="CY65" s="1" t="n"/>
      <c r="CZ65" s="1" t="n"/>
      <c r="DA65" s="1" t="n"/>
      <c r="DB65" s="1" t="n"/>
      <c r="DC65" s="1" t="n"/>
      <c r="DD65" s="1" t="n"/>
      <c r="DE65" s="1" t="n"/>
      <c r="DF65" s="1" t="n"/>
      <c r="DG65" s="1" t="n"/>
      <c r="DH65" s="1" t="n"/>
      <c r="DI65" s="1" t="n"/>
      <c r="DJ65" s="1" t="n"/>
      <c r="DK65" s="1" t="n"/>
      <c r="DL65" s="1" t="n"/>
      <c r="DM65" s="1" t="n"/>
      <c r="DN65" s="1" t="n"/>
      <c r="DO65" s="1" t="n"/>
      <c r="DP65" s="1" t="n"/>
      <c r="DQ65" s="1" t="n"/>
      <c r="DR65" s="1" t="n"/>
      <c r="DS65" s="1" t="n"/>
      <c r="DT65" s="1" t="n"/>
      <c r="DU65" s="1" t="n"/>
      <c r="DV65" s="1" t="n"/>
      <c r="DW65" s="1" t="n"/>
      <c r="DX65" s="1" t="n"/>
      <c r="DY65" s="1" t="n"/>
      <c r="DZ65" s="1" t="n"/>
      <c r="EA65" s="1" t="n"/>
      <c r="EB65" s="1" t="n"/>
      <c r="EC65" s="1" t="n"/>
      <c r="ED65" s="1" t="n"/>
      <c r="EE65" s="1" t="n"/>
      <c r="EF65" s="1" t="n"/>
      <c r="EG65" s="1" t="n"/>
      <c r="EH65" s="1" t="n"/>
      <c r="EI65" s="1" t="n"/>
      <c r="EJ65" s="1" t="n"/>
      <c r="EK65" s="1" t="n"/>
      <c r="EL65" s="1" t="n"/>
      <c r="EM65" s="1" t="n"/>
      <c r="EN65" s="1" t="n"/>
      <c r="EO65" s="1" t="n"/>
      <c r="EP65" s="1" t="n"/>
      <c r="EQ65" s="1" t="n"/>
      <c r="ER65" s="1" t="n"/>
      <c r="ES65" s="1" t="n"/>
      <c r="ET65" s="1" t="n"/>
      <c r="EU65" s="1" t="n"/>
      <c r="EV65" s="1" t="n"/>
      <c r="EW65" s="1" t="n"/>
      <c r="EX65" s="1" t="n"/>
      <c r="EY65" s="1" t="n"/>
      <c r="EZ65" s="1" t="n"/>
      <c r="FA65" s="1" t="n"/>
      <c r="FB65" s="1" t="n"/>
      <c r="FC65" s="1" t="n"/>
      <c r="FD65" s="1" t="n"/>
      <c r="FE65" s="1" t="n"/>
      <c r="FF65" s="1" t="n"/>
      <c r="FG65" s="1" t="n"/>
      <c r="FH65" s="1" t="n"/>
      <c r="FI65" s="1" t="n"/>
      <c r="FJ65" s="1" t="n"/>
      <c r="FK65" s="1" t="n"/>
      <c r="FL65" s="1" t="n"/>
      <c r="FM65" s="1" t="n"/>
      <c r="FN65" s="1" t="n"/>
      <c r="FO65" s="1" t="n"/>
      <c r="FP65" s="1" t="n"/>
      <c r="FQ65" s="1" t="n"/>
      <c r="FR65" s="1" t="n"/>
      <c r="FS65" s="1" t="n"/>
      <c r="FT65" s="1" t="n"/>
      <c r="FU65" s="1" t="n"/>
      <c r="FV65" s="1" t="n"/>
      <c r="FW65" s="1" t="n"/>
      <c r="FX65" s="1" t="n"/>
      <c r="FY65" s="1" t="n"/>
      <c r="FZ65" s="1" t="n"/>
      <c r="GA65" s="1" t="n"/>
      <c r="GB65" s="1" t="n"/>
      <c r="GC65" s="1" t="n"/>
      <c r="GD65" s="1" t="n"/>
      <c r="GE65" s="1" t="n"/>
      <c r="GF65" s="1" t="n"/>
      <c r="GG65" s="1" t="n"/>
      <c r="GH65" s="1" t="n"/>
      <c r="GI65" s="1" t="n"/>
      <c r="GJ65" s="1" t="n"/>
      <c r="GK65" s="1" t="n"/>
      <c r="GL65" s="1" t="n"/>
      <c r="GM65" s="1" t="n"/>
      <c r="GN65" s="1" t="n"/>
      <c r="GO65" s="1" t="n"/>
      <c r="GP65" s="1" t="n"/>
      <c r="GQ65" s="1" t="n"/>
      <c r="GR65" s="1" t="n"/>
      <c r="GS65" s="1" t="n"/>
      <c r="GT65" s="1" t="n"/>
      <c r="GU65" s="1" t="n"/>
      <c r="GV65" s="1" t="n"/>
      <c r="GW65" s="1" t="n"/>
      <c r="GX65" s="1" t="n"/>
    </row>
    <row r="66" ht="15" customFormat="1" customHeight="1" s="8" thickBot="1">
      <c r="A66" s="122" t="n"/>
      <c r="B66" s="123" t="n"/>
      <c r="C66" s="123" t="n"/>
      <c r="D66" s="123" t="n"/>
      <c r="E66" s="123" t="n"/>
      <c r="F66" s="123" t="n"/>
      <c r="G66" s="123" t="n"/>
      <c r="H66" s="123" t="n"/>
      <c r="I66" s="123" t="n"/>
      <c r="J66" s="123" t="n"/>
      <c r="K66" s="123" t="n"/>
      <c r="L66" s="123" t="n"/>
      <c r="M66" s="123" t="n"/>
      <c r="N66" s="124" t="n"/>
      <c r="O66" s="124" t="n"/>
      <c r="P66" s="124" t="n"/>
      <c r="Q66" s="124" t="n"/>
      <c r="R66" s="125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  <c r="BC66" s="1" t="n"/>
      <c r="BD66" s="1" t="n"/>
      <c r="BE66" s="1" t="n"/>
      <c r="BF66" s="1" t="n"/>
      <c r="BG66" s="1" t="n"/>
      <c r="BH66" s="1" t="n"/>
      <c r="BI66" s="1" t="n"/>
      <c r="BJ66" s="1" t="n"/>
      <c r="BK66" s="1" t="n"/>
      <c r="BL66" s="1" t="n"/>
      <c r="BM66" s="1" t="n"/>
      <c r="BN66" s="1" t="n"/>
      <c r="BO66" s="1" t="n"/>
      <c r="BP66" s="1" t="n"/>
      <c r="BQ66" s="1" t="n"/>
      <c r="BR66" s="1" t="n"/>
      <c r="BS66" s="1" t="n"/>
      <c r="BT66" s="1" t="n"/>
      <c r="BU66" s="1" t="n"/>
      <c r="BV66" s="1" t="n"/>
      <c r="BW66" s="1" t="n"/>
      <c r="BX66" s="1" t="n"/>
      <c r="BY66" s="1" t="n"/>
      <c r="BZ66" s="1" t="n"/>
      <c r="CA66" s="1" t="n"/>
      <c r="CB66" s="1" t="n"/>
      <c r="CC66" s="1" t="n"/>
      <c r="CD66" s="1" t="n"/>
      <c r="CE66" s="1" t="n"/>
      <c r="CF66" s="1" t="n"/>
      <c r="CG66" s="1" t="n"/>
      <c r="CH66" s="1" t="n"/>
      <c r="CI66" s="1" t="n"/>
      <c r="CJ66" s="1" t="n"/>
      <c r="CK66" s="1" t="n"/>
      <c r="CL66" s="1" t="n"/>
      <c r="CM66" s="1" t="n"/>
      <c r="CN66" s="1" t="n"/>
      <c r="CO66" s="1" t="n"/>
      <c r="CP66" s="1" t="n"/>
      <c r="CQ66" s="1" t="n"/>
      <c r="CR66" s="1" t="n"/>
      <c r="CS66" s="1" t="n"/>
      <c r="CT66" s="1" t="n"/>
      <c r="CU66" s="1" t="n"/>
      <c r="CV66" s="1" t="n"/>
      <c r="CW66" s="1" t="n"/>
      <c r="CX66" s="1" t="n"/>
      <c r="CY66" s="1" t="n"/>
      <c r="CZ66" s="1" t="n"/>
      <c r="DA66" s="1" t="n"/>
      <c r="DB66" s="1" t="n"/>
      <c r="DC66" s="1" t="n"/>
      <c r="DD66" s="1" t="n"/>
      <c r="DE66" s="1" t="n"/>
      <c r="DF66" s="1" t="n"/>
      <c r="DG66" s="1" t="n"/>
      <c r="DH66" s="1" t="n"/>
      <c r="DI66" s="1" t="n"/>
      <c r="DJ66" s="1" t="n"/>
      <c r="DK66" s="1" t="n"/>
      <c r="DL66" s="1" t="n"/>
      <c r="DM66" s="1" t="n"/>
      <c r="DN66" s="1" t="n"/>
      <c r="DO66" s="1" t="n"/>
      <c r="DP66" s="1" t="n"/>
      <c r="DQ66" s="1" t="n"/>
      <c r="DR66" s="1" t="n"/>
      <c r="DS66" s="1" t="n"/>
      <c r="DT66" s="1" t="n"/>
      <c r="DU66" s="1" t="n"/>
      <c r="DV66" s="1" t="n"/>
      <c r="DW66" s="1" t="n"/>
      <c r="DX66" s="1" t="n"/>
      <c r="DY66" s="1" t="n"/>
      <c r="DZ66" s="1" t="n"/>
      <c r="EA66" s="1" t="n"/>
      <c r="EB66" s="1" t="n"/>
      <c r="EC66" s="1" t="n"/>
      <c r="ED66" s="1" t="n"/>
      <c r="EE66" s="1" t="n"/>
      <c r="EF66" s="1" t="n"/>
      <c r="EG66" s="1" t="n"/>
      <c r="EH66" s="1" t="n"/>
      <c r="EI66" s="1" t="n"/>
      <c r="EJ66" s="1" t="n"/>
      <c r="EK66" s="1" t="n"/>
      <c r="EL66" s="1" t="n"/>
      <c r="EM66" s="1" t="n"/>
      <c r="EN66" s="1" t="n"/>
      <c r="EO66" s="1" t="n"/>
      <c r="EP66" s="1" t="n"/>
      <c r="EQ66" s="1" t="n"/>
      <c r="ER66" s="1" t="n"/>
      <c r="ES66" s="1" t="n"/>
      <c r="ET66" s="1" t="n"/>
      <c r="EU66" s="1" t="n"/>
      <c r="EV66" s="1" t="n"/>
      <c r="EW66" s="1" t="n"/>
      <c r="EX66" s="1" t="n"/>
      <c r="EY66" s="1" t="n"/>
      <c r="EZ66" s="1" t="n"/>
      <c r="FA66" s="1" t="n"/>
      <c r="FB66" s="1" t="n"/>
      <c r="FC66" s="1" t="n"/>
      <c r="FD66" s="1" t="n"/>
      <c r="FE66" s="1" t="n"/>
      <c r="FF66" s="1" t="n"/>
      <c r="FG66" s="1" t="n"/>
      <c r="FH66" s="1" t="n"/>
      <c r="FI66" s="1" t="n"/>
      <c r="FJ66" s="1" t="n"/>
      <c r="FK66" s="1" t="n"/>
      <c r="FL66" s="1" t="n"/>
      <c r="FM66" s="1" t="n"/>
      <c r="FN66" s="1" t="n"/>
      <c r="FO66" s="1" t="n"/>
      <c r="FP66" s="1" t="n"/>
      <c r="FQ66" s="1" t="n"/>
      <c r="FR66" s="1" t="n"/>
      <c r="FS66" s="1" t="n"/>
      <c r="FT66" s="1" t="n"/>
      <c r="FU66" s="1" t="n"/>
      <c r="FV66" s="1" t="n"/>
      <c r="FW66" s="1" t="n"/>
      <c r="FX66" s="1" t="n"/>
      <c r="FY66" s="1" t="n"/>
      <c r="FZ66" s="1" t="n"/>
      <c r="GA66" s="1" t="n"/>
      <c r="GB66" s="1" t="n"/>
      <c r="GC66" s="1" t="n"/>
      <c r="GD66" s="1" t="n"/>
      <c r="GE66" s="1" t="n"/>
      <c r="GF66" s="1" t="n"/>
      <c r="GG66" s="1" t="n"/>
      <c r="GH66" s="1" t="n"/>
      <c r="GI66" s="1" t="n"/>
      <c r="GJ66" s="1" t="n"/>
      <c r="GK66" s="1" t="n"/>
      <c r="GL66" s="1" t="n"/>
      <c r="GM66" s="1" t="n"/>
      <c r="GN66" s="1" t="n"/>
      <c r="GO66" s="1" t="n"/>
      <c r="GP66" s="1" t="n"/>
      <c r="GQ66" s="1" t="n"/>
      <c r="GR66" s="1" t="n"/>
      <c r="GS66" s="1" t="n"/>
      <c r="GT66" s="1" t="n"/>
      <c r="GU66" s="1" t="n"/>
      <c r="GV66" s="1" t="n"/>
      <c r="GW66" s="1" t="n"/>
      <c r="GX66" s="1" t="n"/>
    </row>
  </sheetData>
  <mergeCells count="33">
    <mergeCell ref="L50:R50"/>
    <mergeCell ref="I30:M30"/>
    <mergeCell ref="B60:D60"/>
    <mergeCell ref="B22:N25"/>
    <mergeCell ref="L60:R60"/>
    <mergeCell ref="L56:R56"/>
    <mergeCell ref="L52:R52"/>
    <mergeCell ref="B53:D53"/>
    <mergeCell ref="P22:Q22"/>
    <mergeCell ref="E53:K53"/>
    <mergeCell ref="B41:N41"/>
    <mergeCell ref="L61:R61"/>
    <mergeCell ref="B37:M37"/>
    <mergeCell ref="E56:K56"/>
    <mergeCell ref="I32:M32"/>
    <mergeCell ref="E50:K50"/>
    <mergeCell ref="K12:Q15"/>
    <mergeCell ref="B51:D51"/>
    <mergeCell ref="B33:D33"/>
    <mergeCell ref="E52:K52"/>
    <mergeCell ref="L53:R53"/>
    <mergeCell ref="B45:M45"/>
    <mergeCell ref="B50:D50"/>
    <mergeCell ref="E51:K51"/>
    <mergeCell ref="K11:Q11"/>
    <mergeCell ref="P23:Q25"/>
    <mergeCell ref="I29:M29"/>
    <mergeCell ref="E60:K60"/>
    <mergeCell ref="B56:D56"/>
    <mergeCell ref="B52:D52"/>
    <mergeCell ref="L51:R51"/>
    <mergeCell ref="C4:Q4"/>
    <mergeCell ref="I31:M31"/>
  </mergeCells>
  <printOptions horizontalCentered="1"/>
  <pageMargins left="0.5118110236220472" right="0.2362204724409449" top="0.5118110236220472" bottom="0.5118110236220472" header="0.2362204724409449" footer="0.2362204724409449"/>
  <pageSetup orientation="portrait" paperSize="9" scale="6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G12" sqref="G12"/>
    </sheetView>
  </sheetViews>
  <sheetFormatPr baseColWidth="8" defaultColWidth="8.85546875" defaultRowHeight="12.95"/>
  <cols>
    <col width="11.7109375" bestFit="1" customWidth="1" min="2" max="2"/>
    <col width="10.42578125" bestFit="1" customWidth="1" min="4" max="4"/>
    <col width="14.140625" bestFit="1" customWidth="1" min="5" max="5"/>
    <col width="4.28515625" customWidth="1" min="6" max="6"/>
    <col width="21.140625" bestFit="1" customWidth="1" min="7" max="7"/>
    <col width="3.42578125" customWidth="1" min="8" max="8"/>
    <col width="29.42578125" bestFit="1" customWidth="1" min="9" max="9"/>
    <col width="3.140625" customWidth="1" min="10" max="10"/>
    <col width="21.7109375" customWidth="1" min="11" max="11"/>
    <col width="15.140625" bestFit="1" customWidth="1" min="12" max="12"/>
  </cols>
  <sheetData>
    <row r="1"/>
    <row r="2"/>
    <row r="3"/>
    <row r="4">
      <c r="B4" s="16" t="n"/>
      <c r="D4" s="16" t="n"/>
      <c r="E4" s="16" t="n"/>
    </row>
    <row r="5">
      <c r="B5" s="16" t="n"/>
    </row>
    <row r="6"/>
    <row r="7"/>
    <row r="8"/>
    <row r="9"/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20" t="inlineStr">
        <is>
          <t>AMOUNT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inlineStr">
        <is>
          <t>1)</t>
        </is>
      </c>
      <c r="B12" s="8" t="inlineStr">
        <is>
          <t>ADVANCE PAYMENT AS PER ADVACE PAYMENT CERTIFICATE NO. 1 - Feb 2014 (TBC)</t>
        </is>
      </c>
      <c r="C12" s="8" t="n"/>
      <c r="D12" s="8" t="n"/>
      <c r="E12" s="8" t="n"/>
      <c r="F12" s="8" t="n"/>
      <c r="G12" s="8" t="n"/>
      <c r="H12" s="8" t="n"/>
      <c r="I12" s="8" t="n"/>
      <c r="J12" s="21" t="n"/>
      <c r="K12" s="216" t="n">
        <v>12000000000</v>
      </c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217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217" t="n"/>
    </row>
    <row r="15">
      <c r="A15" s="8" t="inlineStr">
        <is>
          <t>3)</t>
        </is>
      </c>
      <c r="B15" s="8" t="inlineStr">
        <is>
          <t>LESS : ADVANCE PAYMENT PAYBACK TO DATE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216">
        <f>+SUM(I20:I44)</f>
        <v/>
      </c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217" t="n"/>
    </row>
    <row r="17">
      <c r="A17" s="8" t="n"/>
      <c r="B17" s="8" t="n"/>
      <c r="C17" s="8" t="inlineStr">
        <is>
          <t>Payback</t>
        </is>
      </c>
      <c r="D17" s="8" t="n"/>
      <c r="E17" s="8" t="inlineStr">
        <is>
          <t>Included in</t>
        </is>
      </c>
      <c r="F17" s="8" t="n"/>
      <c r="G17" s="8" t="inlineStr">
        <is>
          <t>Certificate</t>
        </is>
      </c>
      <c r="H17" s="8" t="n"/>
      <c r="I17" s="185" t="inlineStr">
        <is>
          <t>Payback Amount</t>
        </is>
      </c>
      <c r="J17" s="8" t="n"/>
      <c r="K17" s="8" t="n"/>
    </row>
    <row r="18">
      <c r="A18" s="8" t="n"/>
      <c r="B18" s="8" t="n"/>
      <c r="C18" s="8" t="inlineStr">
        <is>
          <t>Payment No</t>
        </is>
      </c>
      <c r="D18" s="8" t="n"/>
      <c r="E18" s="8" t="inlineStr">
        <is>
          <t>Certificate No</t>
        </is>
      </c>
      <c r="F18" s="8" t="n"/>
      <c r="G18" s="8" t="inlineStr">
        <is>
          <t>Date</t>
        </is>
      </c>
      <c r="H18" s="8" t="n"/>
      <c r="J18" s="8" t="n"/>
      <c r="K18" s="8" t="n"/>
    </row>
    <row r="19">
      <c r="A19" s="8" t="n"/>
      <c r="B19" s="8" t="n"/>
      <c r="C19" s="8" t="n"/>
      <c r="D19" s="8" t="n"/>
      <c r="E19" s="8" t="n"/>
      <c r="F19" s="8" t="n"/>
      <c r="G19" s="26" t="n"/>
      <c r="H19" s="8" t="n"/>
      <c r="I19" s="8" t="n"/>
      <c r="J19" s="8" t="n"/>
      <c r="K19" s="8" t="n"/>
    </row>
    <row r="20">
      <c r="A20" s="8" t="n"/>
      <c r="B20" s="8" t="n"/>
      <c r="C20" s="8" t="inlineStr">
        <is>
          <t>No 1</t>
        </is>
      </c>
      <c r="D20" s="8" t="n"/>
      <c r="E20" s="8" t="inlineStr">
        <is>
          <t>No 2</t>
        </is>
      </c>
      <c r="F20" s="8" t="n"/>
      <c r="G20" s="26" t="n">
        <v>41730</v>
      </c>
      <c r="H20" s="8" t="n"/>
      <c r="I20" s="216" t="n"/>
      <c r="J20" s="8" t="n"/>
      <c r="K20" s="8" t="n"/>
    </row>
    <row r="21">
      <c r="A21" s="8" t="n"/>
      <c r="B21" s="8" t="n"/>
      <c r="C21" s="8" t="inlineStr">
        <is>
          <t>No 2</t>
        </is>
      </c>
      <c r="D21" s="8" t="n"/>
      <c r="E21" s="8" t="inlineStr">
        <is>
          <t>No 3</t>
        </is>
      </c>
      <c r="F21" s="8" t="n"/>
      <c r="G21" s="26" t="n">
        <v>41760</v>
      </c>
      <c r="H21" s="8" t="n"/>
      <c r="I21" s="216" t="n"/>
      <c r="J21" s="8" t="n"/>
      <c r="K21" s="8" t="n"/>
    </row>
    <row r="22">
      <c r="A22" s="8" t="n"/>
      <c r="B22" s="8" t="n"/>
      <c r="C22" s="8" t="inlineStr">
        <is>
          <t>No 3</t>
        </is>
      </c>
      <c r="D22" s="8" t="n"/>
      <c r="E22" s="8" t="inlineStr">
        <is>
          <t>No 4</t>
        </is>
      </c>
      <c r="F22" s="8" t="n"/>
      <c r="G22" s="26" t="n">
        <v>41791</v>
      </c>
      <c r="H22" s="8" t="n"/>
      <c r="I22" s="218" t="n">
        <v>1701600000</v>
      </c>
      <c r="J22" s="8" t="n"/>
      <c r="K22" s="8" t="n"/>
    </row>
    <row r="23">
      <c r="A23" s="8" t="n"/>
      <c r="B23" s="8" t="n"/>
      <c r="C23" s="8" t="inlineStr">
        <is>
          <t>No 4</t>
        </is>
      </c>
      <c r="D23" s="8" t="n"/>
      <c r="E23" s="8" t="inlineStr">
        <is>
          <t>No 5</t>
        </is>
      </c>
      <c r="F23" s="8" t="n"/>
      <c r="G23" s="26" t="n">
        <v>41821</v>
      </c>
      <c r="H23" s="8" t="n"/>
      <c r="I23" s="216" t="n">
        <v>2297100000</v>
      </c>
      <c r="J23" s="8" t="n"/>
      <c r="K23" s="8" t="n"/>
    </row>
    <row r="24">
      <c r="A24" s="8" t="n"/>
      <c r="B24" s="8" t="n"/>
      <c r="C24" s="8" t="inlineStr">
        <is>
          <t>No 5</t>
        </is>
      </c>
      <c r="D24" s="8" t="n"/>
      <c r="E24" s="8" t="inlineStr">
        <is>
          <t>No 6</t>
        </is>
      </c>
      <c r="F24" s="8" t="n"/>
      <c r="G24" s="27" t="n">
        <v>41852</v>
      </c>
      <c r="H24" s="8" t="n"/>
      <c r="I24" s="216" t="n">
        <v>639700000</v>
      </c>
      <c r="J24" s="8" t="n"/>
      <c r="K24" s="8" t="n"/>
      <c r="M24" s="216" t="n"/>
    </row>
    <row r="25">
      <c r="A25" s="8" t="n"/>
      <c r="B25" s="8" t="n"/>
      <c r="C25" s="8" t="inlineStr">
        <is>
          <t>No 6</t>
        </is>
      </c>
      <c r="D25" s="8" t="n"/>
      <c r="E25" s="8" t="inlineStr">
        <is>
          <t>No 7</t>
        </is>
      </c>
      <c r="F25" s="8" t="n"/>
      <c r="G25" s="26" t="n">
        <v>41896</v>
      </c>
      <c r="H25" s="8" t="n"/>
      <c r="I25" s="216" t="n">
        <v>598000000</v>
      </c>
      <c r="J25" s="8" t="n"/>
      <c r="K25" s="8" t="n"/>
      <c r="L25" t="n">
        <v>-3534800000</v>
      </c>
    </row>
    <row r="26">
      <c r="A26" s="8" t="n"/>
      <c r="B26" s="8" t="n"/>
      <c r="C26" s="8" t="inlineStr">
        <is>
          <t>No 7</t>
        </is>
      </c>
      <c r="D26" s="8" t="n"/>
      <c r="E26" s="8" t="inlineStr">
        <is>
          <t>No 8</t>
        </is>
      </c>
      <c r="F26" s="8" t="n"/>
      <c r="G26" s="26" t="n"/>
      <c r="H26" s="8" t="n"/>
      <c r="I26" s="216" t="n"/>
      <c r="J26" s="8" t="n"/>
      <c r="K26" s="8" t="n"/>
    </row>
    <row r="27">
      <c r="A27" s="8" t="n"/>
      <c r="B27" s="8" t="n"/>
      <c r="C27" s="8" t="inlineStr">
        <is>
          <t>No 8</t>
        </is>
      </c>
      <c r="D27" s="8" t="n"/>
      <c r="E27" s="8" t="inlineStr">
        <is>
          <t>No 9</t>
        </is>
      </c>
      <c r="F27" s="8" t="n"/>
      <c r="G27" s="26" t="n"/>
      <c r="H27" s="8" t="n"/>
      <c r="I27" s="216" t="n"/>
      <c r="J27" s="8" t="n"/>
      <c r="K27" s="8" t="n"/>
      <c r="L27" s="219">
        <f>-2936800000</f>
        <v/>
      </c>
    </row>
    <row r="28">
      <c r="A28" s="8" t="n"/>
      <c r="B28" s="8" t="n"/>
      <c r="C28" s="8" t="inlineStr">
        <is>
          <t>No 9</t>
        </is>
      </c>
      <c r="D28" s="8" t="n"/>
      <c r="E28" s="8" t="inlineStr">
        <is>
          <t>No 10</t>
        </is>
      </c>
      <c r="F28" s="8" t="n"/>
      <c r="G28" s="26" t="n"/>
      <c r="H28" s="8" t="n"/>
      <c r="I28" s="216" t="n"/>
      <c r="J28" s="8" t="n"/>
      <c r="K28" s="8" t="n"/>
    </row>
    <row r="29">
      <c r="A29" s="8" t="n"/>
      <c r="B29" s="8" t="n"/>
      <c r="C29" s="8" t="inlineStr">
        <is>
          <t>No 10</t>
        </is>
      </c>
      <c r="D29" s="8" t="n"/>
      <c r="E29" s="8" t="inlineStr">
        <is>
          <t>No 11 + 12</t>
        </is>
      </c>
      <c r="F29" s="8" t="n"/>
      <c r="G29" s="26" t="n"/>
      <c r="H29" s="8" t="n"/>
      <c r="I29" s="216" t="n"/>
      <c r="J29" s="8" t="n"/>
      <c r="K29" s="8" t="n"/>
      <c r="L29" s="220">
        <f>L25-L27</f>
        <v/>
      </c>
    </row>
    <row r="30">
      <c r="A30" s="8" t="n"/>
      <c r="B30" s="8" t="n"/>
      <c r="C30" s="8" t="inlineStr">
        <is>
          <t>No 11</t>
        </is>
      </c>
      <c r="D30" s="8" t="n"/>
      <c r="E30" s="8" t="inlineStr">
        <is>
          <t>No 13</t>
        </is>
      </c>
      <c r="F30" s="8" t="n"/>
      <c r="G30" s="26" t="n"/>
      <c r="H30" s="8" t="n"/>
      <c r="I30" s="216" t="n"/>
      <c r="J30" s="8" t="n"/>
      <c r="K30" s="8" t="n"/>
    </row>
    <row r="31">
      <c r="A31" s="8" t="n"/>
      <c r="B31" s="8" t="n"/>
      <c r="C31" s="8" t="inlineStr">
        <is>
          <t>No 12</t>
        </is>
      </c>
      <c r="D31" s="8" t="n"/>
      <c r="E31" s="8" t="inlineStr">
        <is>
          <t>No 14</t>
        </is>
      </c>
      <c r="F31" s="8" t="n"/>
      <c r="G31" s="26" t="n"/>
      <c r="H31" s="8" t="n"/>
      <c r="I31" s="216" t="n"/>
      <c r="J31" s="8" t="n"/>
      <c r="K31" s="8" t="n"/>
    </row>
    <row r="32">
      <c r="A32" s="8" t="n"/>
      <c r="B32" s="8" t="n"/>
      <c r="C32" s="8" t="inlineStr">
        <is>
          <t>No 13</t>
        </is>
      </c>
      <c r="D32" s="8" t="n"/>
      <c r="E32" s="8" t="inlineStr">
        <is>
          <t>No 15</t>
        </is>
      </c>
      <c r="F32" s="8" t="n"/>
      <c r="G32" s="26" t="n"/>
      <c r="H32" s="8" t="n"/>
      <c r="I32" s="216" t="n"/>
      <c r="J32" s="8" t="n"/>
      <c r="K32" s="8" t="n"/>
    </row>
    <row r="33">
      <c r="A33" s="8" t="n"/>
      <c r="B33" s="8" t="n"/>
      <c r="C33" s="8" t="inlineStr">
        <is>
          <t>No 14</t>
        </is>
      </c>
      <c r="D33" s="8" t="n"/>
      <c r="E33" s="8" t="inlineStr">
        <is>
          <t>No 16</t>
        </is>
      </c>
      <c r="F33" s="8" t="n"/>
      <c r="G33" s="26" t="n"/>
      <c r="H33" s="8" t="n"/>
      <c r="I33" s="216" t="n"/>
      <c r="J33" s="8" t="n"/>
      <c r="K33" s="8" t="n"/>
    </row>
    <row r="34">
      <c r="A34" s="8" t="n"/>
      <c r="B34" s="8" t="n"/>
      <c r="C34" s="8" t="inlineStr">
        <is>
          <t>No 15</t>
        </is>
      </c>
      <c r="D34" s="8" t="n"/>
      <c r="E34" s="8" t="inlineStr">
        <is>
          <t>No 17</t>
        </is>
      </c>
      <c r="F34" s="8" t="n"/>
      <c r="G34" s="26" t="n"/>
      <c r="H34" s="8" t="n"/>
      <c r="I34" s="216" t="n"/>
      <c r="J34" s="8" t="n"/>
      <c r="K34" s="8" t="n"/>
    </row>
    <row r="35">
      <c r="A35" s="8" t="n"/>
      <c r="B35" s="8" t="n"/>
      <c r="C35" s="8" t="inlineStr">
        <is>
          <t>No 16</t>
        </is>
      </c>
      <c r="D35" s="8" t="n"/>
      <c r="E35" s="8" t="inlineStr">
        <is>
          <t>No 18</t>
        </is>
      </c>
      <c r="F35" s="8" t="n"/>
      <c r="G35" s="26" t="n"/>
      <c r="H35" s="8" t="n"/>
      <c r="I35" s="216" t="n"/>
      <c r="J35" s="8" t="n"/>
      <c r="K35" s="8" t="n"/>
    </row>
    <row r="36">
      <c r="A36" s="8" t="n"/>
      <c r="B36" s="8" t="n"/>
      <c r="C36" s="8" t="inlineStr">
        <is>
          <t>No 17</t>
        </is>
      </c>
      <c r="D36" s="8" t="n"/>
      <c r="E36" s="8" t="inlineStr">
        <is>
          <t>No 19</t>
        </is>
      </c>
      <c r="F36" s="8" t="n"/>
      <c r="G36" s="26" t="n"/>
      <c r="H36" s="8" t="n"/>
      <c r="I36" s="216" t="n"/>
      <c r="J36" s="8" t="n"/>
      <c r="K36" s="8" t="n"/>
    </row>
    <row r="37">
      <c r="A37" s="8" t="n"/>
      <c r="B37" s="8" t="n"/>
      <c r="C37" s="8" t="inlineStr">
        <is>
          <t>No 18</t>
        </is>
      </c>
      <c r="D37" s="8" t="n"/>
      <c r="E37" s="8" t="inlineStr">
        <is>
          <t>No 20</t>
        </is>
      </c>
      <c r="F37" s="8" t="n"/>
      <c r="G37" s="26" t="n"/>
      <c r="H37" s="8" t="n"/>
      <c r="I37" s="216" t="n"/>
      <c r="J37" s="8" t="n"/>
      <c r="K37" s="8" t="n"/>
    </row>
    <row r="38">
      <c r="A38" s="8" t="n"/>
      <c r="B38" s="8" t="n"/>
      <c r="C38" s="8" t="inlineStr">
        <is>
          <t>No 19</t>
        </is>
      </c>
      <c r="D38" s="8" t="n"/>
      <c r="E38" s="8" t="inlineStr">
        <is>
          <t>No 21</t>
        </is>
      </c>
      <c r="F38" s="8" t="n"/>
      <c r="G38" s="26" t="n"/>
      <c r="H38" s="8" t="n"/>
      <c r="I38" s="216" t="n"/>
      <c r="J38" s="8" t="n"/>
      <c r="K38" s="8" t="n"/>
    </row>
    <row r="39">
      <c r="A39" s="8" t="n"/>
      <c r="B39" s="8" t="n"/>
      <c r="C39" s="8" t="inlineStr">
        <is>
          <t>No 20</t>
        </is>
      </c>
      <c r="D39" s="8" t="n"/>
      <c r="E39" s="8" t="inlineStr">
        <is>
          <t>No 22</t>
        </is>
      </c>
      <c r="F39" s="8" t="n"/>
      <c r="G39" s="26" t="n"/>
      <c r="H39" s="8" t="n"/>
      <c r="I39" s="216" t="n"/>
      <c r="J39" s="8" t="n"/>
      <c r="K39" s="8" t="n"/>
    </row>
    <row r="40">
      <c r="A40" s="8" t="n"/>
      <c r="B40" s="8" t="n"/>
      <c r="C40" s="8" t="inlineStr">
        <is>
          <t>No 21</t>
        </is>
      </c>
      <c r="D40" s="8" t="n"/>
      <c r="E40" s="8" t="inlineStr">
        <is>
          <t>No 23</t>
        </is>
      </c>
      <c r="F40" s="8" t="n"/>
      <c r="G40" s="26" t="n"/>
      <c r="H40" s="8" t="n"/>
      <c r="I40" s="216" t="n"/>
      <c r="J40" s="8" t="n"/>
      <c r="K40" s="8" t="n"/>
    </row>
    <row r="41">
      <c r="A41" s="8" t="n"/>
      <c r="B41" s="8" t="n"/>
      <c r="C41" s="8" t="inlineStr">
        <is>
          <t>No 22</t>
        </is>
      </c>
      <c r="D41" s="8" t="n"/>
      <c r="E41" s="8" t="inlineStr">
        <is>
          <t>No 24</t>
        </is>
      </c>
      <c r="F41" s="8" t="n"/>
      <c r="G41" s="26" t="n"/>
      <c r="H41" s="8" t="n"/>
      <c r="I41" s="216" t="n"/>
      <c r="J41" s="8" t="n"/>
      <c r="K41" s="8" t="n"/>
    </row>
    <row r="42">
      <c r="A42" s="8" t="n"/>
      <c r="B42" s="8" t="n"/>
      <c r="C42" s="8" t="inlineStr">
        <is>
          <t>No 23</t>
        </is>
      </c>
      <c r="D42" s="8" t="n"/>
      <c r="E42" s="8" t="inlineStr">
        <is>
          <t>No 25</t>
        </is>
      </c>
      <c r="F42" s="8" t="n"/>
      <c r="G42" s="221" t="n"/>
      <c r="H42" s="8" t="n"/>
      <c r="I42" s="216" t="n"/>
      <c r="J42" s="8" t="n"/>
      <c r="K42" s="8" t="n"/>
    </row>
    <row r="43">
      <c r="A43" s="8" t="n"/>
      <c r="B43" s="8" t="n"/>
      <c r="C43" s="8" t="inlineStr">
        <is>
          <t>No 24</t>
        </is>
      </c>
      <c r="D43" s="8" t="n"/>
      <c r="E43" s="8" t="n"/>
      <c r="F43" s="8" t="n"/>
      <c r="G43" s="216" t="n"/>
      <c r="H43" s="8" t="n"/>
      <c r="I43" s="216" t="n">
        <v>0</v>
      </c>
      <c r="J43" s="8" t="n"/>
      <c r="K43" s="8" t="n"/>
    </row>
    <row r="44">
      <c r="A44" s="8" t="n"/>
      <c r="B44" s="8" t="n"/>
      <c r="C44" s="8" t="inlineStr">
        <is>
          <t>No 25</t>
        </is>
      </c>
      <c r="D44" s="8" t="n"/>
      <c r="E44" s="8" t="n"/>
      <c r="F44" s="8" t="n"/>
      <c r="G44" s="23" t="n"/>
      <c r="H44" s="8" t="n"/>
      <c r="I44" s="8" t="n"/>
      <c r="J44" s="8" t="n"/>
      <c r="K44" s="8" t="n"/>
    </row>
    <row r="45"/>
    <row r="46"/>
    <row r="47"/>
    <row r="48"/>
    <row r="49"/>
    <row r="50"/>
    <row r="51"/>
    <row r="52"/>
    <row r="53" ht="14.1" customHeight="1" thickBot="1">
      <c r="I53" s="17" t="inlineStr">
        <is>
          <t>ADVANCE PAYMENT BALANCE</t>
        </is>
      </c>
      <c r="J53" s="18" t="inlineStr">
        <is>
          <t>R</t>
        </is>
      </c>
      <c r="K53" s="19">
        <f>K12-K15</f>
        <v/>
      </c>
    </row>
    <row r="54"/>
    <row r="55">
      <c r="K55" t="n">
        <v>8465200000</v>
      </c>
    </row>
    <row r="56">
      <c r="K56" s="30">
        <f>K53-K55</f>
        <v/>
      </c>
    </row>
  </sheetData>
  <mergeCells count="1">
    <mergeCell ref="I17:I1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linggoidih</dc:creator>
  <dcterms:created xmlns:dcterms="http://purl.org/dc/terms/" xmlns:xsi="http://www.w3.org/2001/XMLSchema-instance" xsi:type="dcterms:W3CDTF">2009-07-08T04:57:44Z</dcterms:created>
  <dcterms:modified xmlns:dcterms="http://purl.org/dc/terms/" xmlns:xsi="http://www.w3.org/2001/XMLSchema-instance" xsi:type="dcterms:W3CDTF">2026-07-26T11:00:41Z</dcterms:modified>
  <cp:lastModifiedBy>He, Grace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0x0101009631C5CF7EFDBF4B9B437A8911D1F490</vt:lpwstr>
  </property>
  <property name="PMTags" fmtid="{D5CDD505-2E9C-101B-9397-08002B2CF9AE}" pid="3">
    <vt:lpwstr xmlns:vt="http://schemas.openxmlformats.org/officeDocument/2006/docPropsVTypes"/>
  </property>
  <property name="MediaServiceImageTags" fmtid="{D5CDD505-2E9C-101B-9397-08002B2CF9AE}" pid="4">
    <vt:lpwstr xmlns:vt="http://schemas.openxmlformats.org/officeDocument/2006/docPropsVTypes"/>
  </property>
  <property name="xd_ProgID" fmtid="{D5CDD505-2E9C-101B-9397-08002B2CF9AE}" pid="5">
    <vt:lpwstr xmlns:vt="http://schemas.openxmlformats.org/officeDocument/2006/docPropsVTypes"/>
  </property>
  <property name="_SourceUrl" fmtid="{D5CDD505-2E9C-101B-9397-08002B2CF9AE}" pid="6">
    <vt:lpwstr xmlns:vt="http://schemas.openxmlformats.org/officeDocument/2006/docPropsVTypes"/>
  </property>
  <property name="_SharedFileIndex" fmtid="{D5CDD505-2E9C-101B-9397-08002B2CF9AE}" pid="7">
    <vt:lpwstr xmlns:vt="http://schemas.openxmlformats.org/officeDocument/2006/docPropsVTypes"/>
  </property>
  <property name="ComplianceAssetId" fmtid="{D5CDD505-2E9C-101B-9397-08002B2CF9AE}" pid="8">
    <vt:lpwstr xmlns:vt="http://schemas.openxmlformats.org/officeDocument/2006/docPropsVTypes"/>
  </property>
  <property name="TemplateUrl" fmtid="{D5CDD505-2E9C-101B-9397-08002B2CF9AE}" pid="9">
    <vt:lpwstr xmlns:vt="http://schemas.openxmlformats.org/officeDocument/2006/docPropsVTypes"/>
  </property>
  <property name="_ExtendedDescription" fmtid="{D5CDD505-2E9C-101B-9397-08002B2CF9AE}" pid="10">
    <vt:lpwstr xmlns:vt="http://schemas.openxmlformats.org/officeDocument/2006/docPropsVTypes"/>
  </property>
  <property name="TriggerFlowInfo" fmtid="{D5CDD505-2E9C-101B-9397-08002B2CF9AE}" pid="11">
    <vt:lpwstr xmlns:vt="http://schemas.openxmlformats.org/officeDocument/2006/docPropsVTypes"/>
  </property>
  <property name="GUID" fmtid="{D5CDD505-2E9C-101B-9397-08002B2CF9AE}" pid="12">
    <vt:lpwstr xmlns:vt="http://schemas.openxmlformats.org/officeDocument/2006/docPropsVTypes">2fbfd88e-52c5-4dd9-af22-7bf1123f07aa</vt:lpwstr>
  </property>
  <property name="xd_Signature" fmtid="{D5CDD505-2E9C-101B-9397-08002B2CF9AE}" pid="13">
    <vt:bool xmlns:vt="http://schemas.openxmlformats.org/officeDocument/2006/docPropsVTypes">0</vt:bool>
  </property>
</Properties>
</file>